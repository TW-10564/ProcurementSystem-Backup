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Products" sheetId="1" state="visible" r:id="rId3"/>
    <sheet name="Category Summary" sheetId="2" state="visible" r:id="rId4"/>
    <sheet name="ReadMe - Sources &amp; Notes" sheetId="3" state="visible" r:id="rId5"/>
  </sheets>
  <definedNames>
    <definedName function="false" hidden="true" localSheetId="0" name="_xlnm._FilterDatabase" vbProcedure="false">'All Products'!$A$1:$L$535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<sst xmlns="http://schemas.openxmlformats.org/spreadsheetml/2006/main" count="1672" uniqueCount="598">
  <si>
    <t xml:space="preserve">No.</t>
  </si>
  <si>
    <t xml:space="preserve">Category</t>
  </si>
  <si>
    <r>
      <rPr>
        <b val="true"/>
        <sz val="10"/>
        <color rgb="FFFFFFFF"/>
        <rFont val="Arial"/>
        <family val="0"/>
        <charset val="1"/>
      </rPr>
      <t xml:space="preserve">Product (</t>
    </r>
    <r>
      <rPr>
        <b val="true"/>
        <sz val="10"/>
        <color rgb="FFFFFFFF"/>
        <rFont val="Noto Sans CJK SC"/>
        <family val="2"/>
      </rPr>
      <t xml:space="preserve">綽名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</si>
  <si>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Type</t>
  </si>
  <si>
    <t xml:space="preserve">Physical Stock (SAP, 6/29)</t>
  </si>
  <si>
    <t xml:space="preserve">Current Stock (ONE plan, 6/30)</t>
  </si>
  <si>
    <t xml:space="preserve">Used-Sold This Week (Plan, w/c 6/29)</t>
  </si>
  <si>
    <t xml:space="preserve">Used-Sold This Week (Actual, w/c 6/29)</t>
  </si>
  <si>
    <t xml:space="preserve">Forecast Jul-2026</t>
  </si>
  <si>
    <t xml:space="preserve">Forecast Aug-2026</t>
  </si>
  <si>
    <t xml:space="preserve">Forecast Sep-2026</t>
  </si>
  <si>
    <t xml:space="preserve">Forecast 3-Month Total (Jul-Sep)</t>
  </si>
  <si>
    <t xml:space="preserve">CPU</t>
  </si>
  <si>
    <t xml:space="preserve">Ry53400G</t>
  </si>
  <si>
    <t xml:space="preserve">Product</t>
  </si>
  <si>
    <t xml:space="preserve">Ry54500</t>
  </si>
  <si>
    <t xml:space="preserve">Ry55500GT</t>
  </si>
  <si>
    <t xml:space="preserve">Ry55500GT MPK</t>
  </si>
  <si>
    <t xml:space="preserve">Ry57500F</t>
  </si>
  <si>
    <t xml:space="preserve">Ry58500G</t>
  </si>
  <si>
    <t xml:space="preserve">Ry58600G</t>
  </si>
  <si>
    <t xml:space="preserve">Ry59600X</t>
  </si>
  <si>
    <t xml:space="preserve">Ry75700X</t>
  </si>
  <si>
    <t xml:space="preserve">Ry77700</t>
  </si>
  <si>
    <t xml:space="preserve">Ry77800X3D</t>
  </si>
  <si>
    <t xml:space="preserve">Ry78700G</t>
  </si>
  <si>
    <t xml:space="preserve">Ry79700X</t>
  </si>
  <si>
    <t xml:space="preserve">Ry79800X3D</t>
  </si>
  <si>
    <t xml:space="preserve">Ry79850X3D</t>
  </si>
  <si>
    <t xml:space="preserve">Ry99900X3D</t>
  </si>
  <si>
    <t xml:space="preserve">Ry99950X3D</t>
  </si>
  <si>
    <t xml:space="preserve">Ry99950X3D2</t>
  </si>
  <si>
    <t xml:space="preserve">U5-225</t>
  </si>
  <si>
    <t xml:space="preserve">U5-225F</t>
  </si>
  <si>
    <t xml:space="preserve">U5-235</t>
  </si>
  <si>
    <t xml:space="preserve">U5-245KF</t>
  </si>
  <si>
    <t xml:space="preserve">U7-265</t>
  </si>
  <si>
    <t xml:space="preserve">U7-265F</t>
  </si>
  <si>
    <t xml:space="preserve">U7-265K</t>
  </si>
  <si>
    <t xml:space="preserve">U7-265KF</t>
  </si>
  <si>
    <t xml:space="preserve">U7-265T</t>
  </si>
  <si>
    <t xml:space="preserve">U7-270K Plus</t>
  </si>
  <si>
    <t xml:space="preserve">U9-285</t>
  </si>
  <si>
    <t xml:space="preserve">U9-285K</t>
  </si>
  <si>
    <t xml:space="preserve">W11H64DSP</t>
  </si>
  <si>
    <t xml:space="preserve">W11Pro64DSP</t>
  </si>
  <si>
    <t xml:space="preserve">i512400</t>
  </si>
  <si>
    <t xml:space="preserve">i512400F</t>
  </si>
  <si>
    <t xml:space="preserve">i514400</t>
  </si>
  <si>
    <t xml:space="preserve">i514400F</t>
  </si>
  <si>
    <t xml:space="preserve">i714700</t>
  </si>
  <si>
    <t xml:space="preserve">i714700F</t>
  </si>
  <si>
    <t xml:space="preserve">MB</t>
  </si>
  <si>
    <t xml:space="preserve">A520M</t>
  </si>
  <si>
    <t xml:space="preserve">A620AM</t>
  </si>
  <si>
    <t xml:space="preserve">A620AM WH</t>
  </si>
  <si>
    <t xml:space="preserve">ASR B760M D5</t>
  </si>
  <si>
    <t xml:space="preserve">B550M</t>
  </si>
  <si>
    <t xml:space="preserve">B760 TW D5</t>
  </si>
  <si>
    <t xml:space="preserve">B760M</t>
  </si>
  <si>
    <t xml:space="preserve">B760M D5</t>
  </si>
  <si>
    <t xml:space="preserve">B850</t>
  </si>
  <si>
    <t xml:space="preserve">B850 ITX</t>
  </si>
  <si>
    <t xml:space="preserve">B850 LiveMixer</t>
  </si>
  <si>
    <t xml:space="preserve">B850 Pro-A</t>
  </si>
  <si>
    <t xml:space="preserve">B850 WH</t>
  </si>
  <si>
    <t xml:space="preserve">B860</t>
  </si>
  <si>
    <t xml:space="preserve">B860 BK</t>
  </si>
  <si>
    <t xml:space="preserve">B860 ITX</t>
  </si>
  <si>
    <t xml:space="preserve">B860 WH</t>
  </si>
  <si>
    <t xml:space="preserve">B860M</t>
  </si>
  <si>
    <t xml:space="preserve">B860M LiveMixer</t>
  </si>
  <si>
    <t xml:space="preserve">B905C WIFI CARD</t>
  </si>
  <si>
    <t xml:space="preserve">DeskMini B660 VESA Mount</t>
  </si>
  <si>
    <t xml:space="preserve">DeskMini B760</t>
  </si>
  <si>
    <t xml:space="preserve">H810M</t>
  </si>
  <si>
    <t xml:space="preserve">LP Bracket for B905C</t>
  </si>
  <si>
    <t xml:space="preserve">M.2 CNVi WIFI CARD</t>
  </si>
  <si>
    <t xml:space="preserve">MSI H610M D5</t>
  </si>
  <si>
    <t xml:space="preserve">NUC 14 Pro</t>
  </si>
  <si>
    <t xml:space="preserve">ProArt X870E</t>
  </si>
  <si>
    <t xml:space="preserve">ProArt Z890</t>
  </si>
  <si>
    <t xml:space="preserve">RZ616</t>
  </si>
  <si>
    <r>
      <rPr>
        <sz val="10"/>
        <rFont val="Arial"/>
        <family val="0"/>
        <charset val="1"/>
      </rPr>
      <t xml:space="preserve">USB-ARGB</t>
    </r>
    <r>
      <rPr>
        <sz val="10"/>
        <rFont val="Noto Sans CJK SC"/>
        <family val="2"/>
      </rPr>
      <t xml:space="preserve">変換ｱﾀﾞﾌﾟﾀ</t>
    </r>
  </si>
  <si>
    <r>
      <rPr>
        <sz val="10"/>
        <rFont val="Arial"/>
        <family val="0"/>
        <charset val="1"/>
      </rPr>
      <t xml:space="preserve">USB3/2</t>
    </r>
    <r>
      <rPr>
        <sz val="10"/>
        <rFont val="Noto Sans CJK SC"/>
        <family val="2"/>
      </rPr>
      <t xml:space="preserve">変換ｹｰﾌﾞﾙ</t>
    </r>
  </si>
  <si>
    <t xml:space="preserve">USB3/TYPE-E convertor</t>
  </si>
  <si>
    <t xml:space="preserve">X870E</t>
  </si>
  <si>
    <t xml:space="preserve">XG-C100C V3</t>
  </si>
  <si>
    <t xml:space="preserve">Z890</t>
  </si>
  <si>
    <t xml:space="preserve">Z890 LiveMixer</t>
  </si>
  <si>
    <t xml:space="preserve">Z890M-PLUS</t>
  </si>
  <si>
    <t xml:space="preserve">MEM</t>
  </si>
  <si>
    <t xml:space="preserve">LD4-16G32</t>
  </si>
  <si>
    <t xml:space="preserve">LD4-32G32</t>
  </si>
  <si>
    <t xml:space="preserve">LD4-8G32</t>
  </si>
  <si>
    <t xml:space="preserve">LD5-16G48</t>
  </si>
  <si>
    <t xml:space="preserve">LD5-16G56</t>
  </si>
  <si>
    <r>
      <rPr>
        <sz val="10"/>
        <rFont val="Arial"/>
        <family val="0"/>
        <charset val="1"/>
      </rPr>
      <t xml:space="preserve">LD5-16G</t>
    </r>
    <r>
      <rPr>
        <sz val="10"/>
        <rFont val="Noto Sans CJK SC"/>
        <family val="2"/>
      </rPr>
      <t xml:space="preserve">合計</t>
    </r>
  </si>
  <si>
    <t xml:space="preserve">Rollup (subtotal of variants)</t>
  </si>
  <si>
    <t xml:space="preserve">LD5-32G48</t>
  </si>
  <si>
    <t xml:space="preserve">LD5-32G56</t>
  </si>
  <si>
    <r>
      <rPr>
        <sz val="10"/>
        <rFont val="Arial"/>
        <family val="0"/>
        <charset val="1"/>
      </rPr>
      <t xml:space="preserve">LD5-32G56</t>
    </r>
    <r>
      <rPr>
        <sz val="10"/>
        <rFont val="Noto Sans CJK SC"/>
        <family val="2"/>
      </rPr>
      <t xml:space="preserve">代替品</t>
    </r>
  </si>
  <si>
    <r>
      <rPr>
        <sz val="10"/>
        <rFont val="Arial"/>
        <family val="0"/>
        <charset val="1"/>
      </rPr>
      <t xml:space="preserve">LD5-32G</t>
    </r>
    <r>
      <rPr>
        <sz val="10"/>
        <rFont val="Noto Sans CJK SC"/>
        <family val="2"/>
      </rPr>
      <t xml:space="preserve">合計</t>
    </r>
  </si>
  <si>
    <t xml:space="preserve">LD5-8G48</t>
  </si>
  <si>
    <t xml:space="preserve">LD5-8G56</t>
  </si>
  <si>
    <r>
      <rPr>
        <sz val="10"/>
        <rFont val="Arial"/>
        <family val="0"/>
        <charset val="1"/>
      </rPr>
      <t xml:space="preserve">LD5-8G</t>
    </r>
    <r>
      <rPr>
        <sz val="10"/>
        <rFont val="Noto Sans CJK SC"/>
        <family val="2"/>
      </rPr>
      <t xml:space="preserve">合計</t>
    </r>
  </si>
  <si>
    <t xml:space="preserve">SD4-16G32</t>
  </si>
  <si>
    <t xml:space="preserve">SD4-32G32</t>
  </si>
  <si>
    <t xml:space="preserve">SD4-8G32</t>
  </si>
  <si>
    <t xml:space="preserve">SD5-16G48</t>
  </si>
  <si>
    <t xml:space="preserve">SD5-16G56</t>
  </si>
  <si>
    <r>
      <rPr>
        <sz val="10"/>
        <rFont val="Arial"/>
        <family val="0"/>
        <charset val="1"/>
      </rPr>
      <t xml:space="preserve">SD5-16G</t>
    </r>
    <r>
      <rPr>
        <sz val="10"/>
        <rFont val="Noto Sans CJK SC"/>
        <family val="2"/>
      </rPr>
      <t xml:space="preserve">合計</t>
    </r>
  </si>
  <si>
    <t xml:space="preserve">SD5-32G48</t>
  </si>
  <si>
    <t xml:space="preserve">SD5-32G56</t>
  </si>
  <si>
    <r>
      <rPr>
        <sz val="10"/>
        <rFont val="Arial"/>
        <family val="0"/>
        <charset val="1"/>
      </rPr>
      <t xml:space="preserve">SD5-32G56</t>
    </r>
    <r>
      <rPr>
        <sz val="10"/>
        <rFont val="Noto Sans CJK SC"/>
        <family val="2"/>
      </rPr>
      <t xml:space="preserve">代替品</t>
    </r>
  </si>
  <si>
    <r>
      <rPr>
        <sz val="10"/>
        <rFont val="Arial"/>
        <family val="0"/>
        <charset val="1"/>
      </rPr>
      <t xml:space="preserve">SD5-32G</t>
    </r>
    <r>
      <rPr>
        <sz val="10"/>
        <rFont val="Noto Sans CJK SC"/>
        <family val="2"/>
      </rPr>
      <t xml:space="preserve">合計</t>
    </r>
  </si>
  <si>
    <t xml:space="preserve">SD5-8G48</t>
  </si>
  <si>
    <t xml:space="preserve">SD5-8G56</t>
  </si>
  <si>
    <r>
      <rPr>
        <sz val="10"/>
        <rFont val="Arial"/>
        <family val="0"/>
        <charset val="1"/>
      </rPr>
      <t xml:space="preserve">SD5-8G</t>
    </r>
    <r>
      <rPr>
        <sz val="10"/>
        <rFont val="Noto Sans CJK SC"/>
        <family val="2"/>
      </rPr>
      <t xml:space="preserve">合計</t>
    </r>
  </si>
  <si>
    <t xml:space="preserve">SSD</t>
  </si>
  <si>
    <t xml:space="preserve">E18-1T</t>
  </si>
  <si>
    <t xml:space="preserve">E18-2T</t>
  </si>
  <si>
    <t xml:space="preserve">E31T-1T</t>
  </si>
  <si>
    <t xml:space="preserve">E31T-2T</t>
  </si>
  <si>
    <t xml:space="preserve">E41T</t>
  </si>
  <si>
    <t xml:space="preserve">FC5301T</t>
  </si>
  <si>
    <t xml:space="preserve">FC5302T</t>
  </si>
  <si>
    <t xml:space="preserve">FC5304T</t>
  </si>
  <si>
    <t xml:space="preserve">M2NM1TG4H</t>
  </si>
  <si>
    <t xml:space="preserve">M2NM1TG4M</t>
  </si>
  <si>
    <t xml:space="preserve">M2NM1TG4S</t>
  </si>
  <si>
    <t xml:space="preserve">M2NM2TG4H</t>
  </si>
  <si>
    <t xml:space="preserve">M2NM2TG4M</t>
  </si>
  <si>
    <t xml:space="preserve">M2NM2TG4S</t>
  </si>
  <si>
    <t xml:space="preserve">M2NM4TG4M</t>
  </si>
  <si>
    <t xml:space="preserve">M2NM4TG4S</t>
  </si>
  <si>
    <t xml:space="preserve">M2NM500G4M</t>
  </si>
  <si>
    <t xml:space="preserve">M2NM500G4S</t>
  </si>
  <si>
    <t xml:space="preserve">NX-P2SEG1T</t>
  </si>
  <si>
    <t xml:space="preserve">P3P4T</t>
  </si>
  <si>
    <t xml:space="preserve">SN50001T</t>
  </si>
  <si>
    <t xml:space="preserve">SN50002T</t>
  </si>
  <si>
    <t xml:space="preserve">SN50004T</t>
  </si>
  <si>
    <t xml:space="preserve">SN51001T</t>
  </si>
  <si>
    <t xml:space="preserve">SN51002T</t>
  </si>
  <si>
    <t xml:space="preserve">SN51004T</t>
  </si>
  <si>
    <t xml:space="preserve">SN5801T</t>
  </si>
  <si>
    <t xml:space="preserve">SN5802T</t>
  </si>
  <si>
    <t xml:space="preserve">SN71001T</t>
  </si>
  <si>
    <t xml:space="preserve">SN71002T</t>
  </si>
  <si>
    <t xml:space="preserve">SN71004T</t>
  </si>
  <si>
    <t xml:space="preserve">SN81001T</t>
  </si>
  <si>
    <t xml:space="preserve">SN81002T</t>
  </si>
  <si>
    <t xml:space="preserve">SN81004T</t>
  </si>
  <si>
    <t xml:space="preserve">SN850X1T</t>
  </si>
  <si>
    <t xml:space="preserve">SN850X2T</t>
  </si>
  <si>
    <t xml:space="preserve">SN850X4T</t>
  </si>
  <si>
    <t xml:space="preserve">SN850X8T</t>
  </si>
  <si>
    <t xml:space="preserve">T5001T</t>
  </si>
  <si>
    <t xml:space="preserve">T5002T</t>
  </si>
  <si>
    <t xml:space="preserve">T7001T</t>
  </si>
  <si>
    <t xml:space="preserve">T7002T</t>
  </si>
  <si>
    <t xml:space="preserve">sN1T</t>
  </si>
  <si>
    <t xml:space="preserve">sN2T</t>
  </si>
  <si>
    <t xml:space="preserve">sN4T</t>
  </si>
  <si>
    <t xml:space="preserve">HDD</t>
  </si>
  <si>
    <t xml:space="preserve">D16T</t>
  </si>
  <si>
    <t xml:space="preserve">D24T</t>
  </si>
  <si>
    <t xml:space="preserve">D2T</t>
  </si>
  <si>
    <t xml:space="preserve">D4T</t>
  </si>
  <si>
    <t xml:space="preserve">D8T</t>
  </si>
  <si>
    <t xml:space="preserve">N1TSATA3</t>
  </si>
  <si>
    <t xml:space="preserve">N2T</t>
  </si>
  <si>
    <t xml:space="preserve">WD40EFPX</t>
  </si>
  <si>
    <t xml:space="preserve">WD80EFPX</t>
  </si>
  <si>
    <t xml:space="preserve">VGA</t>
  </si>
  <si>
    <t xml:space="preserve">3050 6G</t>
  </si>
  <si>
    <t xml:space="preserve">3050 6GLP</t>
  </si>
  <si>
    <t xml:space="preserve">4060</t>
  </si>
  <si>
    <t xml:space="preserve">5050</t>
  </si>
  <si>
    <t xml:space="preserve">5060</t>
  </si>
  <si>
    <t xml:space="preserve">5060 WH</t>
  </si>
  <si>
    <t xml:space="preserve">5060Ti</t>
  </si>
  <si>
    <t xml:space="preserve">5060Ti 16G</t>
  </si>
  <si>
    <t xml:space="preserve">5060Ti 16G WH</t>
  </si>
  <si>
    <t xml:space="preserve">5070</t>
  </si>
  <si>
    <t xml:space="preserve">5070 WH</t>
  </si>
  <si>
    <t xml:space="preserve">5070Ti</t>
  </si>
  <si>
    <t xml:space="preserve">5080</t>
  </si>
  <si>
    <t xml:space="preserve">5090</t>
  </si>
  <si>
    <t xml:space="preserve">A310LP</t>
  </si>
  <si>
    <t xml:space="preserve">B570</t>
  </si>
  <si>
    <t xml:space="preserve">B580</t>
  </si>
  <si>
    <t xml:space="preserve">R9070GRE</t>
  </si>
  <si>
    <t xml:space="preserve">R9700</t>
  </si>
  <si>
    <t xml:space="preserve">RX550LP</t>
  </si>
  <si>
    <t xml:space="preserve">RX7600</t>
  </si>
  <si>
    <t xml:space="preserve">RX7800XT</t>
  </si>
  <si>
    <t xml:space="preserve">RX9060</t>
  </si>
  <si>
    <t xml:space="preserve">RX9060XT16G</t>
  </si>
  <si>
    <t xml:space="preserve">RX9060XT8G</t>
  </si>
  <si>
    <t xml:space="preserve">RX9070</t>
  </si>
  <si>
    <t xml:space="preserve">RX9070GRE</t>
  </si>
  <si>
    <t xml:space="preserve">RX9070XT</t>
  </si>
  <si>
    <t xml:space="preserve">RTX</t>
  </si>
  <si>
    <t xml:space="preserve">2000Ada</t>
  </si>
  <si>
    <t xml:space="preserve">2000BW</t>
  </si>
  <si>
    <t xml:space="preserve">4000Ada</t>
  </si>
  <si>
    <t xml:space="preserve">4000BW</t>
  </si>
  <si>
    <t xml:space="preserve">4000SFFAda</t>
  </si>
  <si>
    <t xml:space="preserve">4000SFFBW</t>
  </si>
  <si>
    <t xml:space="preserve">4500Ada</t>
  </si>
  <si>
    <t xml:space="preserve">4500BW</t>
  </si>
  <si>
    <t xml:space="preserve">5000Ada</t>
  </si>
  <si>
    <t xml:space="preserve">5000BW</t>
  </si>
  <si>
    <t xml:space="preserve">5000BW 72G</t>
  </si>
  <si>
    <t xml:space="preserve">6000Ada</t>
  </si>
  <si>
    <t xml:space="preserve">6000BW Max-Q</t>
  </si>
  <si>
    <t xml:space="preserve">6000BW WS</t>
  </si>
  <si>
    <t xml:space="preserve">A1000</t>
  </si>
  <si>
    <t xml:space="preserve">A2000-12G</t>
  </si>
  <si>
    <t xml:space="preserve">A400</t>
  </si>
  <si>
    <t xml:space="preserve">A4000</t>
  </si>
  <si>
    <t xml:space="preserve">A4500</t>
  </si>
  <si>
    <t xml:space="preserve">A5000</t>
  </si>
  <si>
    <t xml:space="preserve">A5500</t>
  </si>
  <si>
    <t xml:space="preserve">A6000</t>
  </si>
  <si>
    <t xml:space="preserve">T1000 8G</t>
  </si>
  <si>
    <t xml:space="preserve">T400</t>
  </si>
  <si>
    <t xml:space="preserve">PSU</t>
  </si>
  <si>
    <t xml:space="preserve">ATX3.1 G1000</t>
  </si>
  <si>
    <t xml:space="preserve">ATX3.1 G750</t>
  </si>
  <si>
    <t xml:space="preserve">ATX3.1 G750 WH</t>
  </si>
  <si>
    <t xml:space="preserve">ATX3.1 G850</t>
  </si>
  <si>
    <t xml:space="preserve">ATX3.1 G850 WH</t>
  </si>
  <si>
    <t xml:space="preserve">ATX3.1 P1000W</t>
  </si>
  <si>
    <t xml:space="preserve">ATX3.1 P1200</t>
  </si>
  <si>
    <t xml:space="preserve">ATX3.1 PX-1000</t>
  </si>
  <si>
    <t xml:space="preserve">ATX3.1 PX-1200</t>
  </si>
  <si>
    <t xml:space="preserve">ATX3.1 T850W</t>
  </si>
  <si>
    <t xml:space="preserve">B450W</t>
  </si>
  <si>
    <t xml:space="preserve">B550W</t>
  </si>
  <si>
    <t xml:space="preserve">B650</t>
  </si>
  <si>
    <t xml:space="preserve">G750</t>
  </si>
  <si>
    <t xml:space="preserve">SFX1000</t>
  </si>
  <si>
    <t xml:space="preserve">TC-1300T</t>
  </si>
  <si>
    <t xml:space="preserve">TFX350</t>
  </si>
  <si>
    <t xml:space="preserve">Case</t>
  </si>
  <si>
    <t xml:space="preserve">4C</t>
  </si>
  <si>
    <t xml:space="preserve">4CM</t>
  </si>
  <si>
    <t xml:space="preserve">CK722</t>
  </si>
  <si>
    <t xml:space="preserve">CPS</t>
  </si>
  <si>
    <t xml:space="preserve">Crux BK</t>
  </si>
  <si>
    <t xml:space="preserve">Crux WH</t>
  </si>
  <si>
    <t xml:space="preserve">EA041</t>
  </si>
  <si>
    <t xml:space="preserve">EX</t>
  </si>
  <si>
    <r>
      <rPr>
        <sz val="10"/>
        <rFont val="Arial"/>
        <family val="0"/>
        <charset val="1"/>
      </rPr>
      <t xml:space="preserve">GE Creator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</si>
  <si>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GE Creator </t>
    </r>
    <r>
      <rPr>
        <sz val="10"/>
        <rFont val="Noto Sans CJK SC"/>
        <family val="2"/>
      </rPr>
      <t xml:space="preserve">黒</t>
    </r>
  </si>
  <si>
    <r>
      <rPr>
        <sz val="10"/>
        <rFont val="Arial"/>
        <family val="0"/>
        <charset val="1"/>
      </rPr>
      <t xml:space="preserve">GE </t>
    </r>
    <r>
      <rPr>
        <sz val="10"/>
        <rFont val="Noto Sans CJK SC"/>
        <family val="2"/>
      </rPr>
      <t xml:space="preserve">ガンメタ</t>
    </r>
  </si>
  <si>
    <r>
      <rPr>
        <sz val="10"/>
        <rFont val="Arial"/>
        <family val="0"/>
        <charset val="1"/>
      </rPr>
      <t xml:space="preserve">GE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</si>
  <si>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GEm </t>
    </r>
    <r>
      <rPr>
        <sz val="10"/>
        <rFont val="Noto Sans CJK SC"/>
        <family val="2"/>
      </rPr>
      <t xml:space="preserve">ガンメタ</t>
    </r>
  </si>
  <si>
    <r>
      <rPr>
        <sz val="10"/>
        <rFont val="Arial"/>
        <family val="0"/>
        <charset val="1"/>
      </rPr>
      <t xml:space="preserve">GEm </t>
    </r>
    <r>
      <rPr>
        <sz val="10"/>
        <rFont val="Noto Sans CJK SC"/>
        <family val="2"/>
      </rPr>
      <t xml:space="preserve">白</t>
    </r>
  </si>
  <si>
    <t xml:space="preserve">Nile</t>
  </si>
  <si>
    <r>
      <rPr>
        <sz val="10"/>
        <rFont val="Arial"/>
        <family val="0"/>
        <charset val="1"/>
      </rPr>
      <t xml:space="preserve">R05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</si>
  <si>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R05 </t>
    </r>
    <r>
      <rPr>
        <sz val="10"/>
        <rFont val="Noto Sans CJK SC"/>
        <family val="2"/>
      </rPr>
      <t xml:space="preserve">黒</t>
    </r>
  </si>
  <si>
    <r>
      <rPr>
        <sz val="10"/>
        <rFont val="Arial"/>
        <family val="0"/>
        <charset val="1"/>
      </rPr>
      <t xml:space="preserve">SF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</si>
  <si>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SF </t>
    </r>
    <r>
      <rPr>
        <sz val="10"/>
        <rFont val="Noto Sans CJK SC"/>
        <family val="2"/>
      </rPr>
      <t xml:space="preserve">白 コラボ</t>
    </r>
  </si>
  <si>
    <r>
      <rPr>
        <sz val="10"/>
        <rFont val="Arial"/>
        <family val="0"/>
        <charset val="1"/>
      </rPr>
      <t xml:space="preserve">SF </t>
    </r>
    <r>
      <rPr>
        <sz val="10"/>
        <rFont val="Noto Sans CJK SC"/>
        <family val="2"/>
      </rPr>
      <t xml:space="preserve">黒</t>
    </r>
  </si>
  <si>
    <r>
      <rPr>
        <sz val="10"/>
        <rFont val="Arial"/>
        <family val="0"/>
        <charset val="1"/>
      </rPr>
      <t xml:space="preserve">SF </t>
    </r>
    <r>
      <rPr>
        <sz val="10"/>
        <rFont val="Noto Sans CJK SC"/>
        <family val="2"/>
      </rPr>
      <t xml:space="preserve">黒 コラボ</t>
    </r>
  </si>
  <si>
    <r>
      <rPr>
        <sz val="10"/>
        <rFont val="Arial"/>
        <family val="0"/>
        <charset val="1"/>
      </rPr>
      <t xml:space="preserve">SF_B</t>
    </r>
    <r>
      <rPr>
        <sz val="10"/>
        <rFont val="Noto Sans CJK SC"/>
        <family val="2"/>
      </rPr>
      <t xml:space="preserve">　フロントパネルセット</t>
    </r>
  </si>
  <si>
    <r>
      <rPr>
        <sz val="10"/>
        <rFont val="Arial"/>
        <family val="0"/>
        <charset val="1"/>
      </rPr>
      <t xml:space="preserve">SF_B</t>
    </r>
    <r>
      <rPr>
        <sz val="10"/>
        <rFont val="Noto Sans CJK SC"/>
        <family val="2"/>
      </rPr>
      <t xml:space="preserve">　左パネルセット</t>
    </r>
  </si>
  <si>
    <r>
      <rPr>
        <sz val="10"/>
        <rFont val="Arial"/>
        <family val="0"/>
        <charset val="1"/>
      </rPr>
      <t xml:space="preserve">SF_W</t>
    </r>
    <r>
      <rPr>
        <sz val="10"/>
        <rFont val="Noto Sans CJK SC"/>
        <family val="2"/>
      </rPr>
      <t xml:space="preserve">　フロントパネルセット</t>
    </r>
  </si>
  <si>
    <r>
      <rPr>
        <sz val="10"/>
        <rFont val="Arial"/>
        <family val="0"/>
        <charset val="1"/>
      </rPr>
      <t xml:space="preserve">SF_W</t>
    </r>
    <r>
      <rPr>
        <sz val="10"/>
        <rFont val="Noto Sans CJK SC"/>
        <family val="2"/>
      </rPr>
      <t xml:space="preserve">　左パネルセット</t>
    </r>
  </si>
  <si>
    <r>
      <rPr>
        <sz val="10"/>
        <rFont val="Arial"/>
        <family val="0"/>
        <charset val="1"/>
      </rPr>
      <t xml:space="preserve">SFm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</si>
  <si>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SFm </t>
    </r>
    <r>
      <rPr>
        <sz val="10"/>
        <rFont val="Noto Sans CJK SC"/>
        <family val="2"/>
      </rPr>
      <t xml:space="preserve">白 </t>
    </r>
    <r>
      <rPr>
        <sz val="10"/>
        <rFont val="Arial"/>
        <family val="0"/>
        <charset val="1"/>
      </rPr>
      <t xml:space="preserve">V2</t>
    </r>
  </si>
  <si>
    <r>
      <rPr>
        <sz val="10"/>
        <rFont val="Arial"/>
        <family val="0"/>
        <charset val="1"/>
      </rPr>
      <t xml:space="preserve">SFm </t>
    </r>
    <r>
      <rPr>
        <sz val="10"/>
        <rFont val="Noto Sans CJK SC"/>
        <family val="2"/>
      </rPr>
      <t xml:space="preserve">黒</t>
    </r>
  </si>
  <si>
    <r>
      <rPr>
        <sz val="10"/>
        <rFont val="Arial"/>
        <family val="0"/>
        <charset val="1"/>
      </rPr>
      <t xml:space="preserve">SFm </t>
    </r>
    <r>
      <rPr>
        <sz val="10"/>
        <rFont val="Noto Sans CJK SC"/>
        <family val="2"/>
      </rPr>
      <t xml:space="preserve">黒 </t>
    </r>
    <r>
      <rPr>
        <sz val="10"/>
        <rFont val="Arial"/>
        <family val="0"/>
        <charset val="1"/>
      </rPr>
      <t xml:space="preserve">V2</t>
    </r>
  </si>
  <si>
    <r>
      <rPr>
        <sz val="10"/>
        <rFont val="Arial"/>
        <family val="0"/>
        <charset val="1"/>
      </rPr>
      <t xml:space="preserve">SK </t>
    </r>
    <r>
      <rPr>
        <sz val="10"/>
        <rFont val="Noto Sans CJK SC"/>
        <family val="2"/>
      </rPr>
      <t xml:space="preserve">合計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通常、白、窓拡大、左サイド無し</t>
    </r>
    <r>
      <rPr>
        <sz val="10"/>
        <rFont val="Arial"/>
        <family val="0"/>
        <charset val="1"/>
      </rPr>
      <t xml:space="preserve">)</t>
    </r>
  </si>
  <si>
    <t xml:space="preserve">SK-BK</t>
  </si>
  <si>
    <t xml:space="preserve">SK-P(MC)</t>
  </si>
  <si>
    <t xml:space="preserve">SK-S(MC)</t>
  </si>
  <si>
    <r>
      <rPr>
        <sz val="10"/>
        <rFont val="Arial"/>
        <family val="0"/>
        <charset val="1"/>
      </rPr>
      <t xml:space="preserve">SK-S(MC) </t>
    </r>
    <r>
      <rPr>
        <sz val="10"/>
        <rFont val="Noto Sans CJK SC"/>
        <family val="2"/>
      </rPr>
      <t xml:space="preserve">ぶいすぽっ！</t>
    </r>
  </si>
  <si>
    <t xml:space="preserve">SK-WH</t>
  </si>
  <si>
    <r>
      <rPr>
        <sz val="10"/>
        <rFont val="Arial"/>
        <family val="0"/>
        <charset val="1"/>
      </rPr>
      <t xml:space="preserve">SKM </t>
    </r>
    <r>
      <rPr>
        <sz val="10"/>
        <rFont val="Noto Sans CJK SC"/>
        <family val="2"/>
      </rPr>
      <t xml:space="preserve">合計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通常、白、窓拡大、左サイド無し</t>
    </r>
    <r>
      <rPr>
        <sz val="10"/>
        <rFont val="Arial"/>
        <family val="0"/>
        <charset val="1"/>
      </rPr>
      <t xml:space="preserve">)</t>
    </r>
  </si>
  <si>
    <t xml:space="preserve">SKM-S(MC)</t>
  </si>
  <si>
    <t xml:space="preserve">SKM-WH</t>
  </si>
  <si>
    <t xml:space="preserve">X3-03 BK</t>
  </si>
  <si>
    <t xml:space="preserve">X3-03 WH</t>
  </si>
  <si>
    <r>
      <rPr>
        <sz val="10"/>
        <rFont val="Noto Sans CJK SC"/>
        <family val="2"/>
      </rPr>
      <t xml:space="preserve">窓拡大</t>
    </r>
    <r>
      <rPr>
        <sz val="10"/>
        <rFont val="Arial"/>
        <family val="0"/>
        <charset val="1"/>
      </rPr>
      <t xml:space="preserve">SK-S</t>
    </r>
  </si>
  <si>
    <r>
      <rPr>
        <sz val="10"/>
        <rFont val="Noto Sans CJK SC"/>
        <family val="2"/>
      </rPr>
      <t xml:space="preserve">ｺﾗﾎﾞ</t>
    </r>
    <r>
      <rPr>
        <sz val="10"/>
        <rFont val="Arial"/>
        <family val="0"/>
        <charset val="1"/>
      </rPr>
      <t xml:space="preserve">CR</t>
    </r>
  </si>
  <si>
    <t xml:space="preserve">Case_other</t>
  </si>
  <si>
    <r>
      <rPr>
        <sz val="10"/>
        <rFont val="Arial"/>
        <family val="0"/>
        <charset val="1"/>
      </rPr>
      <t xml:space="preserve">12cm</t>
    </r>
    <r>
      <rPr>
        <sz val="10"/>
        <rFont val="Noto Sans CJK SC"/>
        <family val="2"/>
      </rPr>
      <t xml:space="preserve">ファンガード</t>
    </r>
    <r>
      <rPr>
        <sz val="10"/>
        <rFont val="Arial"/>
        <family val="0"/>
        <charset val="1"/>
      </rPr>
      <t xml:space="preserve">&amp;</t>
    </r>
    <r>
      <rPr>
        <sz val="10"/>
        <rFont val="Noto Sans CJK SC"/>
        <family val="2"/>
      </rPr>
      <t xml:space="preserve">ネジセット </t>
    </r>
    <r>
      <rPr>
        <sz val="10"/>
        <rFont val="Arial"/>
        <family val="0"/>
        <charset val="1"/>
      </rPr>
      <t xml:space="preserve">for CPS</t>
    </r>
  </si>
  <si>
    <t xml:space="preserve">4C fixture</t>
  </si>
  <si>
    <t xml:space="preserve">CK SATA CABLE</t>
  </si>
  <si>
    <t xml:space="preserve">CPS SATA CABLE</t>
  </si>
  <si>
    <r>
      <rPr>
        <sz val="10"/>
        <rFont val="Arial"/>
        <family val="0"/>
        <charset val="1"/>
      </rPr>
      <t xml:space="preserve">CPS</t>
    </r>
    <r>
      <rPr>
        <sz val="10"/>
        <rFont val="Noto Sans CJK SC"/>
        <family val="2"/>
      </rPr>
      <t xml:space="preserve">用</t>
    </r>
    <r>
      <rPr>
        <sz val="10"/>
        <rFont val="Arial"/>
        <family val="0"/>
        <charset val="1"/>
      </rPr>
      <t xml:space="preserve">USB</t>
    </r>
    <r>
      <rPr>
        <sz val="10"/>
        <rFont val="Noto Sans CJK SC"/>
        <family val="2"/>
      </rPr>
      <t xml:space="preserve">カバー</t>
    </r>
  </si>
  <si>
    <t xml:space="preserve">EM5Bay</t>
  </si>
  <si>
    <t xml:space="preserve">USB Type-A cover</t>
  </si>
  <si>
    <r>
      <rPr>
        <sz val="10"/>
        <rFont val="Arial"/>
        <family val="0"/>
        <charset val="1"/>
      </rPr>
      <t xml:space="preserve">rubber for AMD</t>
    </r>
    <r>
      <rPr>
        <sz val="10"/>
        <rFont val="Noto Sans CJK SC"/>
        <family val="2"/>
      </rPr>
      <t xml:space="preserve">＆</t>
    </r>
    <r>
      <rPr>
        <sz val="10"/>
        <rFont val="Arial"/>
        <family val="0"/>
        <charset val="1"/>
      </rPr>
      <t xml:space="preserve">msi</t>
    </r>
  </si>
  <si>
    <t xml:space="preserve">rubber for NVIDIA</t>
  </si>
  <si>
    <r>
      <rPr>
        <sz val="10"/>
        <rFont val="Noto Sans CJK SC"/>
        <family val="2"/>
      </rPr>
      <t xml:space="preserve">サポートカバー </t>
    </r>
    <r>
      <rPr>
        <sz val="10"/>
        <rFont val="Arial"/>
        <family val="0"/>
        <charset val="1"/>
      </rPr>
      <t xml:space="preserve">Aries  M(Black)</t>
    </r>
  </si>
  <si>
    <r>
      <rPr>
        <sz val="10"/>
        <rFont val="Noto Sans CJK SC"/>
        <family val="2"/>
      </rPr>
      <t xml:space="preserve">サポートカバー </t>
    </r>
    <r>
      <rPr>
        <sz val="10"/>
        <rFont val="Arial"/>
        <family val="0"/>
        <charset val="1"/>
      </rPr>
      <t xml:space="preserve">Aries  M(White)</t>
    </r>
  </si>
  <si>
    <r>
      <rPr>
        <sz val="10"/>
        <rFont val="Noto Sans CJK SC"/>
        <family val="2"/>
      </rPr>
      <t xml:space="preserve">サポートカバー </t>
    </r>
    <r>
      <rPr>
        <sz val="10"/>
        <rFont val="Arial"/>
        <family val="0"/>
        <charset val="1"/>
      </rPr>
      <t xml:space="preserve">Aries (Black)</t>
    </r>
  </si>
  <si>
    <r>
      <rPr>
        <sz val="10"/>
        <rFont val="Noto Sans CJK SC"/>
        <family val="2"/>
      </rPr>
      <t xml:space="preserve">サポートカバー </t>
    </r>
    <r>
      <rPr>
        <sz val="10"/>
        <rFont val="Arial"/>
        <family val="0"/>
        <charset val="1"/>
      </rPr>
      <t xml:space="preserve">Aries (White)</t>
    </r>
  </si>
  <si>
    <r>
      <rPr>
        <sz val="10"/>
        <rFont val="Noto Sans CJK SC"/>
        <family val="2"/>
      </rPr>
      <t xml:space="preserve">金具　</t>
    </r>
    <r>
      <rPr>
        <sz val="10"/>
        <rFont val="Arial"/>
        <family val="0"/>
        <charset val="1"/>
      </rPr>
      <t xml:space="preserve">Aries (Black)</t>
    </r>
  </si>
  <si>
    <r>
      <rPr>
        <sz val="10"/>
        <rFont val="Noto Sans CJK SC"/>
        <family val="2"/>
      </rPr>
      <t xml:space="preserve">金具　</t>
    </r>
    <r>
      <rPr>
        <sz val="10"/>
        <rFont val="Arial"/>
        <family val="0"/>
        <charset val="1"/>
      </rPr>
      <t xml:space="preserve">Aries M (Black)</t>
    </r>
  </si>
  <si>
    <r>
      <rPr>
        <sz val="10"/>
        <rFont val="Noto Sans CJK SC"/>
        <family val="2"/>
      </rPr>
      <t xml:space="preserve">金具　</t>
    </r>
    <r>
      <rPr>
        <sz val="10"/>
        <rFont val="Arial"/>
        <family val="0"/>
        <charset val="1"/>
      </rPr>
      <t xml:space="preserve">Aries M (White)</t>
    </r>
  </si>
  <si>
    <r>
      <rPr>
        <sz val="10"/>
        <rFont val="Noto Sans CJK SC"/>
        <family val="2"/>
      </rPr>
      <t xml:space="preserve">金具　</t>
    </r>
    <r>
      <rPr>
        <sz val="10"/>
        <rFont val="Arial"/>
        <family val="0"/>
        <charset val="1"/>
      </rPr>
      <t xml:space="preserve">Gem&amp;Ari(White)</t>
    </r>
  </si>
  <si>
    <r>
      <rPr>
        <sz val="10"/>
        <rFont val="Noto Sans CJK SC"/>
        <family val="2"/>
      </rPr>
      <t xml:space="preserve">金具　</t>
    </r>
    <r>
      <rPr>
        <sz val="10"/>
        <rFont val="Arial"/>
        <family val="0"/>
        <charset val="1"/>
      </rPr>
      <t xml:space="preserve">Gemini (Dark gray)</t>
    </r>
  </si>
  <si>
    <r>
      <rPr>
        <sz val="10"/>
        <rFont val="Noto Sans CJK SC"/>
        <family val="2"/>
      </rPr>
      <t xml:space="preserve">ｺﾗﾎﾞ</t>
    </r>
    <r>
      <rPr>
        <sz val="10"/>
        <rFont val="Arial"/>
        <family val="0"/>
        <charset val="1"/>
      </rPr>
      <t xml:space="preserve">CR</t>
    </r>
    <r>
      <rPr>
        <sz val="10"/>
        <rFont val="Noto Sans CJK SC"/>
        <family val="2"/>
      </rPr>
      <t xml:space="preserve">用金具</t>
    </r>
  </si>
  <si>
    <r>
      <rPr>
        <sz val="10"/>
        <rFont val="Arial"/>
        <family val="0"/>
        <charset val="1"/>
      </rPr>
      <t xml:space="preserve">Case_</t>
    </r>
    <r>
      <rPr>
        <sz val="10"/>
        <rFont val="Noto Sans CJK SC"/>
        <family val="2"/>
      </rPr>
      <t xml:space="preserve">梱包</t>
    </r>
  </si>
  <si>
    <r>
      <rPr>
        <sz val="10"/>
        <rFont val="Arial"/>
        <family val="0"/>
        <charset val="1"/>
      </rPr>
      <t xml:space="preserve">4Cm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</si>
  <si>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Arial"/>
        <family val="0"/>
        <charset val="1"/>
      </rPr>
      <t xml:space="preserve">4C</t>
    </r>
    <r>
      <rPr>
        <sz val="10"/>
        <rFont val="Noto Sans CJK SC"/>
        <family val="2"/>
      </rPr>
      <t xml:space="preserve">外装箱</t>
    </r>
  </si>
  <si>
    <r>
      <rPr>
        <sz val="10"/>
        <rFont val="Arial"/>
        <family val="0"/>
        <charset val="1"/>
      </rPr>
      <t xml:space="preserve">4C</t>
    </r>
    <r>
      <rPr>
        <sz val="10"/>
        <rFont val="Noto Sans CJK SC"/>
        <family val="2"/>
      </rPr>
      <t xml:space="preserve">添付品</t>
    </r>
  </si>
  <si>
    <r>
      <rPr>
        <sz val="10"/>
        <rFont val="Arial"/>
        <family val="0"/>
        <charset val="1"/>
      </rPr>
      <t xml:space="preserve">4C</t>
    </r>
    <r>
      <rPr>
        <sz val="10"/>
        <rFont val="Noto Sans CJK SC"/>
        <family val="2"/>
      </rPr>
      <t xml:space="preserve">緩衝材</t>
    </r>
  </si>
  <si>
    <r>
      <rPr>
        <sz val="10"/>
        <rFont val="Arial"/>
        <family val="0"/>
        <charset val="1"/>
      </rPr>
      <t xml:space="preserve">CK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</si>
  <si>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Arial"/>
        <family val="0"/>
        <charset val="1"/>
      </rPr>
      <t xml:space="preserve">CPS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</si>
  <si>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Arial"/>
        <family val="0"/>
        <charset val="1"/>
      </rPr>
      <t xml:space="preserve">DTM </t>
    </r>
    <r>
      <rPr>
        <sz val="10"/>
        <rFont val="Noto Sans CJK SC"/>
        <family val="2"/>
      </rPr>
      <t xml:space="preserve">添付品箱</t>
    </r>
  </si>
  <si>
    <r>
      <rPr>
        <sz val="10"/>
        <rFont val="Arial"/>
        <family val="0"/>
        <charset val="1"/>
      </rPr>
      <t xml:space="preserve">GALLERIA HEDT</t>
    </r>
    <r>
      <rPr>
        <sz val="10"/>
        <rFont val="Noto Sans CJK SC"/>
        <family val="2"/>
      </rPr>
      <t xml:space="preserve">梱包</t>
    </r>
  </si>
  <si>
    <r>
      <rPr>
        <sz val="10"/>
        <rFont val="Arial"/>
        <family val="0"/>
        <charset val="1"/>
      </rPr>
      <t xml:space="preserve">GE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</si>
  <si>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Arial"/>
        <family val="0"/>
        <charset val="1"/>
      </rPr>
      <t xml:space="preserve">GE</t>
    </r>
    <r>
      <rPr>
        <sz val="10"/>
        <rFont val="Noto Sans CJK SC"/>
        <family val="2"/>
      </rPr>
      <t xml:space="preserve">ｍ 法人用二重梱包</t>
    </r>
  </si>
  <si>
    <r>
      <rPr>
        <sz val="10"/>
        <rFont val="Arial"/>
        <family val="0"/>
        <charset val="1"/>
      </rPr>
      <t xml:space="preserve">R05 2</t>
    </r>
    <r>
      <rPr>
        <sz val="10"/>
        <rFont val="Noto Sans CJK SC"/>
        <family val="2"/>
      </rPr>
      <t xml:space="preserve">重梱包用外装箱</t>
    </r>
  </si>
  <si>
    <r>
      <rPr>
        <sz val="10"/>
        <rFont val="Arial"/>
        <family val="0"/>
        <charset val="1"/>
      </rPr>
      <t xml:space="preserve">SK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</si>
  <si>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Arial"/>
        <family val="0"/>
        <charset val="1"/>
      </rPr>
      <t xml:space="preserve">SK-M</t>
    </r>
    <r>
      <rPr>
        <sz val="10"/>
        <rFont val="Noto Sans CJK SC"/>
        <family val="2"/>
      </rPr>
      <t xml:space="preserve">箱</t>
    </r>
  </si>
  <si>
    <r>
      <rPr>
        <sz val="10"/>
        <rFont val="Arial"/>
        <family val="0"/>
        <charset val="1"/>
      </rPr>
      <t xml:space="preserve">SK</t>
    </r>
    <r>
      <rPr>
        <sz val="10"/>
        <rFont val="Noto Sans CJK SC"/>
        <family val="2"/>
      </rPr>
      <t xml:space="preserve">箱</t>
    </r>
  </si>
  <si>
    <r>
      <rPr>
        <sz val="10"/>
        <rFont val="Arial"/>
        <family val="0"/>
        <charset val="1"/>
      </rPr>
      <t xml:space="preserve">SK</t>
    </r>
    <r>
      <rPr>
        <sz val="10"/>
        <rFont val="Noto Sans CJK SC"/>
        <family val="2"/>
      </rPr>
      <t xml:space="preserve">箱 ぶいすぽっ！</t>
    </r>
  </si>
  <si>
    <r>
      <rPr>
        <sz val="10"/>
        <rFont val="Arial"/>
        <family val="0"/>
        <charset val="1"/>
      </rPr>
      <t xml:space="preserve">X3-03 2</t>
    </r>
    <r>
      <rPr>
        <sz val="10"/>
        <rFont val="Noto Sans CJK SC"/>
        <family val="2"/>
      </rPr>
      <t xml:space="preserve">重梱包用外装箱</t>
    </r>
  </si>
  <si>
    <r>
      <rPr>
        <sz val="10"/>
        <rFont val="Arial"/>
        <family val="0"/>
        <charset val="1"/>
      </rPr>
      <t xml:space="preserve">raytrek </t>
    </r>
    <r>
      <rPr>
        <sz val="10"/>
        <rFont val="Noto Sans CJK SC"/>
        <family val="2"/>
      </rPr>
      <t xml:space="preserve">法人用二重梱包</t>
    </r>
  </si>
  <si>
    <r>
      <rPr>
        <sz val="10"/>
        <rFont val="Noto Sans CJK SC"/>
        <family val="2"/>
      </rPr>
      <t xml:space="preserve">にじさんじ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外装箱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</si>
  <si>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ぶいすぽ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ポストイン箱</t>
    </r>
    <r>
      <rPr>
        <sz val="10"/>
        <rFont val="Arial"/>
        <family val="0"/>
        <charset val="1"/>
      </rPr>
      <t xml:space="preserve">_SF</t>
    </r>
  </si>
  <si>
    <r>
      <rPr>
        <sz val="10"/>
        <rFont val="Noto Sans CJK SC"/>
        <family val="2"/>
      </rPr>
      <t xml:space="preserve">ぶいすぽ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中蓋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</si>
  <si>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ぶいすぽ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付属品箱 </t>
    </r>
    <r>
      <rPr>
        <sz val="10"/>
        <rFont val="Arial"/>
        <family val="0"/>
        <charset val="1"/>
      </rPr>
      <t xml:space="preserve">_SF</t>
    </r>
  </si>
  <si>
    <r>
      <rPr>
        <sz val="10"/>
        <rFont val="Noto Sans CJK SC"/>
        <family val="2"/>
      </rPr>
      <t xml:space="preserve">ぶいすぽ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外装箱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</si>
  <si>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t xml:space="preserve">パネル 不織布 ぶいすぽっ！</t>
  </si>
  <si>
    <t xml:space="preserve">パネル 外装箱 ぶいすぽっ！</t>
  </si>
  <si>
    <t xml:space="preserve">パネル 緩衝材 ぶいすぽっ！</t>
  </si>
  <si>
    <t xml:space="preserve">ポストイン箱</t>
  </si>
  <si>
    <t xml:space="preserve">中蓋</t>
  </si>
  <si>
    <r>
      <rPr>
        <sz val="10"/>
        <rFont val="Noto Sans CJK SC"/>
        <family val="2"/>
      </rPr>
      <t xml:space="preserve">中蓋 </t>
    </r>
    <r>
      <rPr>
        <sz val="10"/>
        <rFont val="Arial"/>
        <family val="0"/>
        <charset val="1"/>
      </rPr>
      <t xml:space="preserve">Ver2</t>
    </r>
  </si>
  <si>
    <r>
      <rPr>
        <sz val="10"/>
        <rFont val="Noto Sans CJK SC"/>
        <family val="2"/>
      </rPr>
      <t xml:space="preserve">中蓋 ぶいすぽ</t>
    </r>
    <r>
      <rPr>
        <sz val="10"/>
        <rFont val="Arial"/>
        <family val="0"/>
        <charset val="1"/>
      </rPr>
      <t xml:space="preserve">_SF</t>
    </r>
  </si>
  <si>
    <t xml:space="preserve">付属品ホルダー</t>
  </si>
  <si>
    <r>
      <rPr>
        <sz val="10"/>
        <rFont val="Noto Sans CJK SC"/>
        <family val="2"/>
      </rPr>
      <t xml:space="preserve">付属品ホルダー </t>
    </r>
    <r>
      <rPr>
        <sz val="10"/>
        <rFont val="Arial"/>
        <family val="0"/>
        <charset val="1"/>
      </rPr>
      <t xml:space="preserve">Ver2</t>
    </r>
  </si>
  <si>
    <r>
      <rPr>
        <sz val="10"/>
        <rFont val="Noto Sans CJK SC"/>
        <family val="2"/>
      </rPr>
      <t xml:space="preserve">共通緩衝材（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</si>
  <si>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内装材 </t>
    </r>
    <r>
      <rPr>
        <sz val="10"/>
        <rFont val="Arial"/>
        <family val="0"/>
        <charset val="1"/>
      </rPr>
      <t xml:space="preserve">(Gemini, Aries)</t>
    </r>
  </si>
  <si>
    <r>
      <rPr>
        <sz val="10"/>
        <rFont val="Noto Sans CJK SC"/>
        <family val="2"/>
      </rPr>
      <t xml:space="preserve">内装材 </t>
    </r>
    <r>
      <rPr>
        <sz val="10"/>
        <rFont val="Arial"/>
        <family val="0"/>
        <charset val="1"/>
      </rPr>
      <t xml:space="preserve">(Gemini, Aries) M</t>
    </r>
  </si>
  <si>
    <r>
      <rPr>
        <sz val="10"/>
        <rFont val="Noto Sans CJK SC"/>
        <family val="2"/>
      </rPr>
      <t xml:space="preserve">外装箱 にじさんじ</t>
    </r>
    <r>
      <rPr>
        <sz val="10"/>
        <rFont val="Arial"/>
        <family val="0"/>
        <charset val="1"/>
      </rPr>
      <t xml:space="preserve">_SF</t>
    </r>
  </si>
  <si>
    <r>
      <rPr>
        <sz val="10"/>
        <rFont val="Noto Sans CJK SC"/>
        <family val="2"/>
      </rPr>
      <t xml:space="preserve">外装箱 ぶいすぽ</t>
    </r>
    <r>
      <rPr>
        <sz val="10"/>
        <rFont val="Arial"/>
        <family val="0"/>
        <charset val="1"/>
      </rPr>
      <t xml:space="preserve">_SF</t>
    </r>
  </si>
  <si>
    <r>
      <rPr>
        <sz val="10"/>
        <rFont val="Noto Sans CJK SC"/>
        <family val="2"/>
      </rPr>
      <t xml:space="preserve">外装箱　大　</t>
    </r>
    <r>
      <rPr>
        <sz val="10"/>
        <rFont val="Arial"/>
        <family val="0"/>
        <charset val="1"/>
      </rPr>
      <t xml:space="preserve">(Gemini, Aries)</t>
    </r>
  </si>
  <si>
    <r>
      <rPr>
        <sz val="10"/>
        <rFont val="Noto Sans CJK SC"/>
        <family val="2"/>
      </rPr>
      <t xml:space="preserve">外装箱　大　</t>
    </r>
    <r>
      <rPr>
        <sz val="10"/>
        <rFont val="Arial"/>
        <family val="0"/>
        <charset val="1"/>
      </rPr>
      <t xml:space="preserve">Ver2</t>
    </r>
  </si>
  <si>
    <r>
      <rPr>
        <sz val="10"/>
        <rFont val="Noto Sans CJK SC"/>
        <family val="2"/>
      </rPr>
      <t xml:space="preserve">外装箱　小　</t>
    </r>
    <r>
      <rPr>
        <sz val="10"/>
        <rFont val="Arial"/>
        <family val="0"/>
        <charset val="1"/>
      </rPr>
      <t xml:space="preserve">(Gemini, Aries) M</t>
    </r>
  </si>
  <si>
    <t xml:space="preserve">新 渋ハル 内装材</t>
  </si>
  <si>
    <t xml:space="preserve">新 渋ハル 外装箱</t>
  </si>
  <si>
    <t xml:space="preserve">添付品</t>
  </si>
  <si>
    <t xml:space="preserve">添付品 ぶいすぽっ！</t>
  </si>
  <si>
    <r>
      <rPr>
        <sz val="10"/>
        <rFont val="Noto Sans CJK SC"/>
        <family val="2"/>
      </rPr>
      <t xml:space="preserve">渋ハル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ポストイン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</si>
  <si>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渋ハル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中蓋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</si>
  <si>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渋ハル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付属品箱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</si>
  <si>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渋ハル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外装箱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</si>
  <si>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t xml:space="preserve">緩衝材</t>
  </si>
  <si>
    <r>
      <rPr>
        <sz val="10"/>
        <rFont val="Noto Sans CJK SC"/>
        <family val="2"/>
      </rPr>
      <t xml:space="preserve">緩衝材 </t>
    </r>
    <r>
      <rPr>
        <sz val="10"/>
        <rFont val="Arial"/>
        <family val="0"/>
        <charset val="1"/>
      </rPr>
      <t xml:space="preserve">Aries</t>
    </r>
  </si>
  <si>
    <r>
      <rPr>
        <sz val="10"/>
        <rFont val="Noto Sans CJK SC"/>
        <family val="2"/>
      </rPr>
      <t xml:space="preserve">緩衝材 </t>
    </r>
    <r>
      <rPr>
        <sz val="10"/>
        <rFont val="Arial"/>
        <family val="0"/>
        <charset val="1"/>
      </rPr>
      <t xml:space="preserve">Gemini</t>
    </r>
  </si>
  <si>
    <r>
      <rPr>
        <sz val="10"/>
        <rFont val="Noto Sans CJK SC"/>
        <family val="2"/>
      </rPr>
      <t xml:space="preserve">葛葉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付属品箱</t>
    </r>
  </si>
  <si>
    <t xml:space="preserve">葛葉 ポストイン</t>
  </si>
  <si>
    <t xml:space="preserve">葛葉 内装材</t>
  </si>
  <si>
    <t xml:space="preserve">葛葉 外装箱</t>
  </si>
  <si>
    <r>
      <rPr>
        <sz val="10"/>
        <rFont val="Noto Sans CJK SC"/>
        <family val="2"/>
      </rPr>
      <t xml:space="preserve">葛葉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中蓋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</si>
  <si>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r>
      <rPr>
        <sz val="10"/>
        <rFont val="Noto Sans CJK SC"/>
        <family val="2"/>
      </rPr>
      <t xml:space="preserve">葛葉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外装箱 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縮小</t>
    </r>
  </si>
  <si>
    <t xml:space="preserve">部品箱</t>
  </si>
  <si>
    <r>
      <rPr>
        <sz val="10"/>
        <rFont val="Noto Sans CJK SC"/>
        <family val="2"/>
      </rPr>
      <t xml:space="preserve">ｺﾗﾎﾞ</t>
    </r>
    <r>
      <rPr>
        <sz val="10"/>
        <rFont val="Arial"/>
        <family val="0"/>
        <charset val="1"/>
      </rPr>
      <t xml:space="preserve">CR </t>
    </r>
    <r>
      <rPr>
        <sz val="10"/>
        <rFont val="Noto Sans CJK SC"/>
        <family val="2"/>
      </rPr>
      <t xml:space="preserve">付属品箱</t>
    </r>
  </si>
  <si>
    <r>
      <rPr>
        <sz val="10"/>
        <rFont val="Noto Sans CJK SC"/>
        <family val="2"/>
      </rPr>
      <t xml:space="preserve">ｺﾗﾎﾞ</t>
    </r>
    <r>
      <rPr>
        <sz val="10"/>
        <rFont val="Arial"/>
        <family val="0"/>
        <charset val="1"/>
      </rPr>
      <t xml:space="preserve">CR </t>
    </r>
    <r>
      <rPr>
        <sz val="10"/>
        <rFont val="Noto Sans CJK SC"/>
        <family val="2"/>
      </rPr>
      <t xml:space="preserve">外装箱</t>
    </r>
  </si>
  <si>
    <r>
      <rPr>
        <sz val="10"/>
        <rFont val="Noto Sans CJK SC"/>
        <family val="2"/>
      </rPr>
      <t xml:space="preserve">ｺﾗﾎﾞ</t>
    </r>
    <r>
      <rPr>
        <sz val="10"/>
        <rFont val="Arial"/>
        <family val="0"/>
        <charset val="1"/>
      </rPr>
      <t xml:space="preserve">CR </t>
    </r>
    <r>
      <rPr>
        <sz val="10"/>
        <rFont val="Noto Sans CJK SC"/>
        <family val="2"/>
      </rPr>
      <t xml:space="preserve">緩衝材</t>
    </r>
  </si>
  <si>
    <t xml:space="preserve">FAN</t>
  </si>
  <si>
    <r>
      <rPr>
        <sz val="10"/>
        <rFont val="Arial"/>
        <family val="0"/>
        <charset val="1"/>
      </rPr>
      <t xml:space="preserve">12cm </t>
    </r>
    <r>
      <rPr>
        <sz val="10"/>
        <rFont val="Noto Sans CJK SC"/>
        <family val="2"/>
      </rPr>
      <t xml:space="preserve">ｹｰｽ</t>
    </r>
    <r>
      <rPr>
        <sz val="10"/>
        <rFont val="Arial"/>
        <family val="0"/>
        <charset val="1"/>
      </rPr>
      <t xml:space="preserve">FAN</t>
    </r>
  </si>
  <si>
    <t xml:space="preserve">612X-M2</t>
  </si>
  <si>
    <t xml:space="preserve">624S-M2</t>
  </si>
  <si>
    <t xml:space="preserve">636S-M2</t>
  </si>
  <si>
    <t xml:space="preserve">AINEX CA-864SAPSA</t>
  </si>
  <si>
    <t xml:space="preserve">AK-390(White tube*2)</t>
  </si>
  <si>
    <t xml:space="preserve">ASD 1700 Rkit</t>
  </si>
  <si>
    <t xml:space="preserve">ASD AM4/AM5 Rkit</t>
  </si>
  <si>
    <t xml:space="preserve">CAHPS-M2</t>
  </si>
  <si>
    <t xml:space="preserve">CAHPS-M2+HeatsinkM2SSD-BK</t>
  </si>
  <si>
    <t xml:space="preserve">DA240 ARGB BK</t>
  </si>
  <si>
    <t xml:space="preserve">DF1402512SEMN</t>
  </si>
  <si>
    <t xml:space="preserve">DF1402512SEMN BK</t>
  </si>
  <si>
    <t xml:space="preserve">DF1402512SEMN WH</t>
  </si>
  <si>
    <r>
      <rPr>
        <sz val="10"/>
        <rFont val="Arial"/>
        <family val="0"/>
        <charset val="1"/>
      </rPr>
      <t xml:space="preserve">E240/E360TW </t>
    </r>
    <r>
      <rPr>
        <sz val="10"/>
        <rFont val="Noto Sans CJK SC"/>
        <family val="2"/>
      </rPr>
      <t xml:space="preserve">藤ちょこロゴ</t>
    </r>
  </si>
  <si>
    <r>
      <rPr>
        <sz val="10"/>
        <rFont val="Arial"/>
        <family val="0"/>
        <charset val="1"/>
      </rPr>
      <t xml:space="preserve">E240/TW CR</t>
    </r>
    <r>
      <rPr>
        <sz val="10"/>
        <rFont val="Noto Sans CJK SC"/>
        <family val="2"/>
      </rPr>
      <t xml:space="preserve">ロゴシール</t>
    </r>
  </si>
  <si>
    <r>
      <rPr>
        <sz val="10"/>
        <rFont val="Arial"/>
        <family val="0"/>
        <charset val="1"/>
      </rPr>
      <t xml:space="preserve">E240/TW GALLERIA</t>
    </r>
    <r>
      <rPr>
        <sz val="10"/>
        <rFont val="Noto Sans CJK SC"/>
        <family val="2"/>
      </rPr>
      <t xml:space="preserve">ロゴシール</t>
    </r>
  </si>
  <si>
    <r>
      <rPr>
        <sz val="10"/>
        <rFont val="Arial"/>
        <family val="0"/>
        <charset val="1"/>
      </rPr>
      <t xml:space="preserve">E240/TW </t>
    </r>
    <r>
      <rPr>
        <sz val="10"/>
        <rFont val="Noto Sans CJK SC"/>
        <family val="2"/>
      </rPr>
      <t xml:space="preserve">ぶいすぽっ！ロゴシール</t>
    </r>
  </si>
  <si>
    <t xml:space="preserve">EKWB CR240 D-RGB</t>
  </si>
  <si>
    <r>
      <rPr>
        <sz val="10"/>
        <rFont val="Arial"/>
        <family val="0"/>
        <charset val="1"/>
      </rPr>
      <t xml:space="preserve">EZDIY-FAB</t>
    </r>
    <r>
      <rPr>
        <sz val="10"/>
        <rFont val="Noto Sans CJK SC"/>
        <family val="2"/>
      </rPr>
      <t xml:space="preserve">メモリヒートシンク </t>
    </r>
    <r>
      <rPr>
        <sz val="10"/>
        <rFont val="Arial"/>
        <family val="0"/>
        <charset val="1"/>
      </rPr>
      <t xml:space="preserve">2PK BK</t>
    </r>
  </si>
  <si>
    <r>
      <rPr>
        <sz val="10"/>
        <rFont val="Arial"/>
        <family val="0"/>
        <charset val="1"/>
      </rPr>
      <t xml:space="preserve">EZDIY-FAB</t>
    </r>
    <r>
      <rPr>
        <sz val="10"/>
        <rFont val="Noto Sans CJK SC"/>
        <family val="2"/>
      </rPr>
      <t xml:space="preserve">メモリヒートシンク </t>
    </r>
    <r>
      <rPr>
        <sz val="10"/>
        <rFont val="Arial"/>
        <family val="0"/>
        <charset val="1"/>
      </rPr>
      <t xml:space="preserve">2PK WH</t>
    </r>
  </si>
  <si>
    <t xml:space="preserve">F3R120 ARGB BK</t>
  </si>
  <si>
    <t xml:space="preserve">F3R120 ARGB WH</t>
  </si>
  <si>
    <t xml:space="preserve">F3R120 BK</t>
  </si>
  <si>
    <t xml:space="preserve">FKE4_152</t>
  </si>
  <si>
    <t xml:space="preserve">FKE4_152 AMD</t>
  </si>
  <si>
    <r>
      <rPr>
        <sz val="10"/>
        <rFont val="Arial"/>
        <family val="0"/>
        <charset val="1"/>
      </rPr>
      <t xml:space="preserve">FKHY-CF6562(</t>
    </r>
    <r>
      <rPr>
        <sz val="10"/>
        <rFont val="Noto Sans CJK SC"/>
        <family val="2"/>
      </rPr>
      <t xml:space="preserve">ノート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用クーラー</t>
    </r>
    <r>
      <rPr>
        <sz val="10"/>
        <rFont val="Arial"/>
        <family val="0"/>
        <charset val="1"/>
      </rPr>
      <t xml:space="preserve">)</t>
    </r>
  </si>
  <si>
    <t xml:space="preserve">G-M2HS06_2280HeatPipe</t>
  </si>
  <si>
    <t xml:space="preserve">HX6200D Black</t>
  </si>
  <si>
    <t xml:space="preserve">HeatsinkM2SSD-BK</t>
  </si>
  <si>
    <t xml:space="preserve">HeatsinkM2SSD-SL</t>
  </si>
  <si>
    <t xml:space="preserve">IRC C601</t>
  </si>
  <si>
    <t xml:space="preserve">K6 ARGB WH</t>
  </si>
  <si>
    <t xml:space="preserve">K6 BK</t>
  </si>
  <si>
    <t xml:space="preserve">K6 WH</t>
  </si>
  <si>
    <t xml:space="preserve">MAG CORELIQUID E240 WH/TW</t>
  </si>
  <si>
    <t xml:space="preserve">MAG CORELIQUID E240/TW</t>
  </si>
  <si>
    <r>
      <rPr>
        <sz val="10"/>
        <rFont val="Arial"/>
        <family val="0"/>
        <charset val="1"/>
      </rPr>
      <t xml:space="preserve">MAG CORELIQUID E360 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</si>
  <si>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MAG CORELIQUID E360 </t>
    </r>
    <r>
      <rPr>
        <sz val="10"/>
        <rFont val="Noto Sans CJK SC"/>
        <family val="2"/>
      </rPr>
      <t xml:space="preserve">黒</t>
    </r>
  </si>
  <si>
    <t xml:space="preserve">MSI AM4/5 Bracket(E240)</t>
  </si>
  <si>
    <r>
      <rPr>
        <sz val="10"/>
        <rFont val="Arial"/>
        <family val="0"/>
        <charset val="1"/>
      </rPr>
      <t xml:space="preserve">MSI E240&amp;E360/TW Nachoneko</t>
    </r>
    <r>
      <rPr>
        <sz val="10"/>
        <rFont val="Noto Sans CJK SC"/>
        <family val="2"/>
      </rPr>
      <t xml:space="preserve">シール</t>
    </r>
  </si>
  <si>
    <r>
      <rPr>
        <sz val="10"/>
        <rFont val="Arial"/>
        <family val="0"/>
        <charset val="1"/>
      </rPr>
      <t xml:space="preserve">MSI E240&amp;E360/TW </t>
    </r>
    <r>
      <rPr>
        <sz val="10"/>
        <rFont val="Noto Sans CJK SC"/>
        <family val="2"/>
      </rPr>
      <t xml:space="preserve">渋ハルシール</t>
    </r>
  </si>
  <si>
    <r>
      <rPr>
        <sz val="10"/>
        <rFont val="Arial"/>
        <family val="0"/>
        <charset val="1"/>
      </rPr>
      <t xml:space="preserve">MSI E240/E360TW REJECT</t>
    </r>
    <r>
      <rPr>
        <sz val="10"/>
        <rFont val="Noto Sans CJK SC"/>
        <family val="2"/>
      </rPr>
      <t xml:space="preserve">ロゴ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</si>
  <si>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しぐれういロゴ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</si>
  <si>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アルストロメリアロゴシール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</si>
  <si>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イブラヒムロゴ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</si>
  <si>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スターレイルロゴ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</si>
  <si>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ローレンイロアスロゴ</t>
    </r>
  </si>
  <si>
    <r>
      <rPr>
        <sz val="10"/>
        <rFont val="Arial"/>
        <family val="0"/>
        <charset val="1"/>
      </rPr>
      <t xml:space="preserve">MSI E240/E360TW </t>
    </r>
    <r>
      <rPr>
        <sz val="10"/>
        <rFont val="Noto Sans CJK SC"/>
        <family val="2"/>
      </rPr>
      <t xml:space="preserve">猫麦とろろロゴ</t>
    </r>
  </si>
  <si>
    <r>
      <rPr>
        <sz val="10"/>
        <rFont val="Arial"/>
        <family val="0"/>
        <charset val="1"/>
      </rPr>
      <t xml:space="preserve">MSI GALLERIA</t>
    </r>
    <r>
      <rPr>
        <sz val="10"/>
        <rFont val="Noto Sans CJK SC"/>
        <family val="2"/>
      </rPr>
      <t xml:space="preserve">ロゴシール</t>
    </r>
    <r>
      <rPr>
        <sz val="10"/>
        <rFont val="Arial"/>
        <family val="0"/>
        <charset val="1"/>
      </rPr>
      <t xml:space="preserve">(E240/E360)</t>
    </r>
    <r>
      <rPr>
        <sz val="10"/>
        <rFont val="Noto Sans CJK SC"/>
        <family val="2"/>
      </rPr>
      <t xml:space="preserve">白</t>
    </r>
  </si>
  <si>
    <r>
      <rPr>
        <sz val="10"/>
        <rFont val="Arial"/>
        <family val="0"/>
        <charset val="1"/>
      </rPr>
      <t xml:space="preserve">MSI GALLERIA</t>
    </r>
    <r>
      <rPr>
        <sz val="10"/>
        <rFont val="Noto Sans CJK SC"/>
        <family val="2"/>
      </rPr>
      <t xml:space="preserve">ロゴシール</t>
    </r>
    <r>
      <rPr>
        <sz val="10"/>
        <rFont val="Arial"/>
        <family val="0"/>
        <charset val="1"/>
      </rPr>
      <t xml:space="preserve">(E240/E360)</t>
    </r>
    <r>
      <rPr>
        <sz val="10"/>
        <rFont val="Noto Sans CJK SC"/>
        <family val="2"/>
      </rPr>
      <t xml:space="preserve">黒</t>
    </r>
  </si>
  <si>
    <r>
      <rPr>
        <sz val="10"/>
        <rFont val="Arial"/>
        <family val="0"/>
        <charset val="1"/>
      </rPr>
      <t xml:space="preserve">MSI/TW </t>
    </r>
    <r>
      <rPr>
        <sz val="10"/>
        <rFont val="Noto Sans CJK SC"/>
        <family val="2"/>
      </rPr>
      <t xml:space="preserve">葛葉ロゴシール</t>
    </r>
  </si>
  <si>
    <t xml:space="preserve">NF-A12x25 G2 PWM</t>
  </si>
  <si>
    <t xml:space="preserve">NF-A12x25 PWM</t>
  </si>
  <si>
    <t xml:space="preserve">NF-A14IPPC-2000-PWM</t>
  </si>
  <si>
    <t xml:space="preserve">NF-A9 PWM</t>
  </si>
  <si>
    <r>
      <rPr>
        <sz val="10"/>
        <rFont val="Arial"/>
        <family val="0"/>
        <charset val="1"/>
      </rPr>
      <t xml:space="preserve">NF-F12IPPC-2000-PWM(12cm </t>
    </r>
    <r>
      <rPr>
        <sz val="10"/>
        <rFont val="Noto Sans CJK SC"/>
        <family val="2"/>
      </rPr>
      <t xml:space="preserve">ｹｰｽﾌｧﾝ</t>
    </r>
    <r>
      <rPr>
        <sz val="10"/>
        <rFont val="Arial"/>
        <family val="0"/>
        <charset val="1"/>
      </rPr>
      <t xml:space="preserve">)I</t>
    </r>
  </si>
  <si>
    <t xml:space="preserve">NH-U12S-REDUX</t>
  </si>
  <si>
    <t xml:space="preserve">NX4 1700</t>
  </si>
  <si>
    <t xml:space="preserve">NX4 AM4</t>
  </si>
  <si>
    <t xml:space="preserve">PWM 4pin cable</t>
  </si>
  <si>
    <t xml:space="preserve">ProArt LC420</t>
  </si>
  <si>
    <t xml:space="preserve">R400</t>
  </si>
  <si>
    <t xml:space="preserve">R95S-I</t>
  </si>
  <si>
    <t xml:space="preserve">RC600-67</t>
  </si>
  <si>
    <t xml:space="preserve">SHIELD ARGB White</t>
  </si>
  <si>
    <t xml:space="preserve">SR-ARCB-01B</t>
  </si>
  <si>
    <t xml:space="preserve">SR-CBUB-002A</t>
  </si>
  <si>
    <t xml:space="preserve">SR-CBUB-002B</t>
  </si>
  <si>
    <t xml:space="preserve">SR-CBUB-004</t>
  </si>
  <si>
    <t xml:space="preserve">SR-PCI-23</t>
  </si>
  <si>
    <r>
      <rPr>
        <sz val="10"/>
        <rFont val="Arial"/>
        <family val="0"/>
        <charset val="1"/>
      </rPr>
      <t xml:space="preserve">ZALMAN ZM-NS1000(</t>
    </r>
    <r>
      <rPr>
        <sz val="10"/>
        <rFont val="Noto Sans CJK SC"/>
        <family val="2"/>
      </rPr>
      <t xml:space="preserve">ノート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用クーラー 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</si>
  <si>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ZALMAN ZM-NS3000(</t>
    </r>
    <r>
      <rPr>
        <sz val="10"/>
        <rFont val="Noto Sans CJK SC"/>
        <family val="2"/>
      </rPr>
      <t xml:space="preserve">ノート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用クーラー 黒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</si>
  <si>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虎徹</t>
    </r>
    <r>
      <rPr>
        <sz val="10"/>
        <rFont val="Arial"/>
        <family val="0"/>
        <charset val="1"/>
      </rPr>
      <t xml:space="preserve">4</t>
    </r>
  </si>
  <si>
    <t xml:space="preserve">虎徹Ⅲ</t>
  </si>
  <si>
    <r>
      <rPr>
        <sz val="10"/>
        <rFont val="Noto Sans CJK SC"/>
        <family val="2"/>
      </rPr>
      <t xml:space="preserve">静音パック</t>
    </r>
    <r>
      <rPr>
        <sz val="10"/>
        <rFont val="Arial"/>
        <family val="0"/>
        <charset val="1"/>
      </rPr>
      <t xml:space="preserve">(AMD)</t>
    </r>
  </si>
  <si>
    <r>
      <rPr>
        <sz val="10"/>
        <rFont val="Noto Sans CJK SC"/>
        <family val="2"/>
      </rPr>
      <t xml:space="preserve">静音パック</t>
    </r>
    <r>
      <rPr>
        <sz val="10"/>
        <rFont val="Arial"/>
        <family val="0"/>
        <charset val="1"/>
      </rPr>
      <t xml:space="preserve">(Intel)</t>
    </r>
  </si>
  <si>
    <t xml:space="preserve">ODD</t>
  </si>
  <si>
    <t xml:space="preserve">BD9.5</t>
  </si>
  <si>
    <t xml:space="preserve">BDH/H</t>
  </si>
  <si>
    <t xml:space="preserve">DVDROMH/H</t>
  </si>
  <si>
    <r>
      <rPr>
        <sz val="10"/>
        <rFont val="Arial"/>
        <family val="0"/>
        <charset val="1"/>
      </rPr>
      <t xml:space="preserve">Smt9.5</t>
    </r>
    <r>
      <rPr>
        <sz val="10"/>
        <rFont val="Noto Sans CJK SC"/>
        <family val="2"/>
      </rPr>
      <t xml:space="preserve">ﾍﾞｾﾞﾙ付</t>
    </r>
  </si>
  <si>
    <t xml:space="preserve">SmtH/H</t>
  </si>
  <si>
    <r>
      <rPr>
        <sz val="10"/>
        <rFont val="Noto Sans CJK SC"/>
        <family val="2"/>
      </rPr>
      <t xml:space="preserve">外付け</t>
    </r>
    <r>
      <rPr>
        <sz val="10"/>
        <rFont val="Arial"/>
        <family val="0"/>
        <charset val="1"/>
      </rPr>
      <t xml:space="preserve">BD</t>
    </r>
  </si>
  <si>
    <r>
      <rPr>
        <sz val="10"/>
        <rFont val="Noto Sans CJK SC"/>
        <family val="2"/>
      </rPr>
      <t xml:space="preserve">外付け</t>
    </r>
    <r>
      <rPr>
        <sz val="10"/>
        <rFont val="Arial"/>
        <family val="0"/>
        <charset val="1"/>
      </rPr>
      <t xml:space="preserve">DVD</t>
    </r>
  </si>
  <si>
    <t xml:space="preserve">OS</t>
  </si>
  <si>
    <t xml:space="preserve">GML Label(Win11)</t>
  </si>
  <si>
    <t xml:space="preserve">OHB24 POSA</t>
  </si>
  <si>
    <t xml:space="preserve">W11H</t>
  </si>
  <si>
    <t xml:space="preserve">W11H NextGen Pre</t>
  </si>
  <si>
    <t xml:space="preserve">W11H NextGen Sta</t>
  </si>
  <si>
    <t xml:space="preserve">W11HAD</t>
  </si>
  <si>
    <t xml:space="preserve">W11P</t>
  </si>
  <si>
    <t xml:space="preserve">W11P NextGen Pre</t>
  </si>
  <si>
    <t xml:space="preserve">W11P NextGen Sta</t>
  </si>
  <si>
    <t xml:space="preserve">W11PHigh</t>
  </si>
  <si>
    <t xml:space="preserve">Mouse&amp;KB</t>
  </si>
  <si>
    <t xml:space="preserve">IRK52W</t>
  </si>
  <si>
    <r>
      <rPr>
        <sz val="10"/>
        <rFont val="Arial"/>
        <family val="0"/>
        <charset val="1"/>
      </rPr>
      <t xml:space="preserve">IRK52W(</t>
    </r>
    <r>
      <rPr>
        <sz val="10"/>
        <rFont val="Noto Sans CJK SC"/>
        <family val="2"/>
      </rPr>
      <t xml:space="preserve">法人用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</si>
  <si>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IRK52W⁺IRK52W(</t>
    </r>
    <r>
      <rPr>
        <sz val="10"/>
        <rFont val="Noto Sans CJK SC"/>
        <family val="2"/>
      </rPr>
      <t xml:space="preserve">法人用）</t>
    </r>
  </si>
  <si>
    <t xml:space="preserve">K6260</t>
  </si>
  <si>
    <t xml:space="preserve">M02</t>
  </si>
  <si>
    <t xml:space="preserve">M9020</t>
  </si>
  <si>
    <t xml:space="preserve">国内一般品</t>
  </si>
  <si>
    <t xml:space="preserve">CA-099A</t>
  </si>
  <si>
    <t xml:space="preserve">CA-100A</t>
  </si>
  <si>
    <r>
      <rPr>
        <sz val="10"/>
        <rFont val="Arial"/>
        <family val="0"/>
        <charset val="1"/>
      </rPr>
      <t xml:space="preserve">CyberLink PowerDVD14 (Win32</t>
    </r>
    <r>
      <rPr>
        <sz val="10"/>
        <rFont val="Noto Sans CJK SC"/>
        <family val="2"/>
      </rPr>
      <t xml:space="preserve">版 </t>
    </r>
    <r>
      <rPr>
        <sz val="10"/>
        <rFont val="Arial"/>
        <family val="0"/>
        <charset val="1"/>
      </rPr>
      <t xml:space="preserve">V2)</t>
    </r>
  </si>
  <si>
    <r>
      <rPr>
        <sz val="10"/>
        <rFont val="Arial"/>
        <family val="0"/>
        <charset val="1"/>
      </rPr>
      <t xml:space="preserve">USB3.1 Type-C</t>
    </r>
    <r>
      <rPr>
        <sz val="10"/>
        <rFont val="Noto Sans CJK SC"/>
        <family val="2"/>
      </rPr>
      <t xml:space="preserve">ﾊﾌﾞ</t>
    </r>
  </si>
  <si>
    <t xml:space="preserve">WAX-2415C-BK</t>
  </si>
  <si>
    <r>
      <rPr>
        <sz val="10"/>
        <rFont val="Noto Sans CJK SC"/>
        <family val="2"/>
      </rPr>
      <t xml:space="preserve">ノートン 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アドバイザー 同時購入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年版</t>
    </r>
  </si>
  <si>
    <r>
      <rPr>
        <sz val="10"/>
        <rFont val="Noto Sans CJK SC"/>
        <family val="2"/>
      </rPr>
      <t xml:space="preserve">玄人志向 </t>
    </r>
    <r>
      <rPr>
        <sz val="10"/>
        <rFont val="Arial"/>
        <family val="0"/>
        <charset val="1"/>
      </rPr>
      <t xml:space="preserve">USB3.0RA-P2H2-PCIE</t>
    </r>
  </si>
  <si>
    <t xml:space="preserve">NotePC</t>
  </si>
  <si>
    <t xml:space="preserve">CLE-L24-226V-UMA-16G-L7 TW</t>
  </si>
  <si>
    <t xml:space="preserve">CLE-L24-226V-UMA-16G-L7 Thirdwave</t>
  </si>
  <si>
    <t xml:space="preserve">CLE-L24-258V-UMA-32G-L7 TW</t>
  </si>
  <si>
    <t xml:space="preserve">CLE-L24-258V-UMA-32G-L7 Thirdwave</t>
  </si>
  <si>
    <t xml:space="preserve">CLE-L24-U5-325-UMA-16G-L7 Thirdwave</t>
  </si>
  <si>
    <t xml:space="preserve">CLE-L24-U7-355-UMA-32G-L7 Thirdwave</t>
  </si>
  <si>
    <t xml:space="preserve">CLE-L26-228V-UMA-32G-L7 Thirdwave</t>
  </si>
  <si>
    <t xml:space="preserve">CLE-L26-258V-UMA-32G-L7 Thirdwave</t>
  </si>
  <si>
    <t xml:space="preserve">CLE-L26-U7-355-UMA-32G-L7 Thirdwave</t>
  </si>
  <si>
    <t xml:space="preserve">CLE-L260-155U-UMA-L6 Thirdwave</t>
  </si>
  <si>
    <r>
      <rPr>
        <sz val="10"/>
        <rFont val="Arial"/>
        <family val="0"/>
        <charset val="1"/>
      </rPr>
      <t xml:space="preserve">CLE-MiniPC-AI7-450-</t>
    </r>
    <r>
      <rPr>
        <sz val="10"/>
        <rFont val="Noto Sans CJK SC"/>
        <family val="2"/>
      </rPr>
      <t xml:space="preserve">白</t>
    </r>
    <r>
      <rPr>
        <sz val="10"/>
        <rFont val="Arial"/>
        <family val="0"/>
        <charset val="1"/>
      </rPr>
      <t xml:space="preserve">-GC</t>
    </r>
  </si>
  <si>
    <r>
      <rPr>
        <sz val="10"/>
        <rFont val="Arial"/>
        <family val="0"/>
        <charset val="1"/>
      </rPr>
      <t xml:space="preserve">CLE-MiniPC-AI7-450-</t>
    </r>
    <r>
      <rPr>
        <sz val="10"/>
        <rFont val="Noto Sans CJK SC"/>
        <family val="2"/>
      </rPr>
      <t xml:space="preserve">黒</t>
    </r>
    <r>
      <rPr>
        <sz val="10"/>
        <rFont val="Arial"/>
        <family val="0"/>
        <charset val="1"/>
      </rPr>
      <t xml:space="preserve">-GC</t>
    </r>
  </si>
  <si>
    <r>
      <rPr>
        <sz val="10"/>
        <rFont val="Arial"/>
        <family val="0"/>
        <charset val="1"/>
      </rPr>
      <t xml:space="preserve">CLE-MiniPC-AI9-HX470-</t>
    </r>
    <r>
      <rPr>
        <sz val="10"/>
        <rFont val="Noto Sans CJK SC"/>
        <family val="2"/>
      </rPr>
      <t xml:space="preserve">白</t>
    </r>
    <r>
      <rPr>
        <sz val="10"/>
        <rFont val="Arial"/>
        <family val="0"/>
        <charset val="1"/>
      </rPr>
      <t xml:space="preserve">-GC</t>
    </r>
  </si>
  <si>
    <r>
      <rPr>
        <sz val="10"/>
        <rFont val="Arial"/>
        <family val="0"/>
        <charset val="1"/>
      </rPr>
      <t xml:space="preserve">CLE-MiniPC-AI9-HX470-</t>
    </r>
    <r>
      <rPr>
        <sz val="10"/>
        <rFont val="Noto Sans CJK SC"/>
        <family val="2"/>
      </rPr>
      <t xml:space="preserve">黒</t>
    </r>
    <r>
      <rPr>
        <sz val="10"/>
        <rFont val="Arial"/>
        <family val="0"/>
        <charset val="1"/>
      </rPr>
      <t xml:space="preserve">-GC</t>
    </r>
  </si>
  <si>
    <r>
      <rPr>
        <sz val="10"/>
        <rFont val="Arial"/>
        <family val="0"/>
        <charset val="1"/>
      </rPr>
      <t xml:space="preserve">CLE-MiniPC-R7-255-</t>
    </r>
    <r>
      <rPr>
        <sz val="10"/>
        <rFont val="Noto Sans CJK SC"/>
        <family val="2"/>
      </rPr>
      <t xml:space="preserve">白</t>
    </r>
    <r>
      <rPr>
        <sz val="10"/>
        <rFont val="Arial"/>
        <family val="0"/>
        <charset val="1"/>
      </rPr>
      <t xml:space="preserve">-GC</t>
    </r>
  </si>
  <si>
    <r>
      <rPr>
        <sz val="10"/>
        <rFont val="Arial"/>
        <family val="0"/>
        <charset val="1"/>
      </rPr>
      <t xml:space="preserve">CLE-MiniPC-R7-255-</t>
    </r>
    <r>
      <rPr>
        <sz val="10"/>
        <rFont val="Noto Sans CJK SC"/>
        <family val="2"/>
      </rPr>
      <t xml:space="preserve">黒</t>
    </r>
    <r>
      <rPr>
        <sz val="10"/>
        <rFont val="Arial"/>
        <family val="0"/>
        <charset val="1"/>
      </rPr>
      <t xml:space="preserve">-GC</t>
    </r>
  </si>
  <si>
    <t xml:space="preserve">CLE-NL45-120U-UMA-L6-TPM DDR5 Thirdwave</t>
  </si>
  <si>
    <t xml:space="preserve">CLE-NL45-120U-UMA-L6-TPM Thirdwave</t>
  </si>
  <si>
    <t xml:space="preserve">CLE-NL45-1334U-UMA-L6 Thirdwave</t>
  </si>
  <si>
    <t xml:space="preserve">CLE-NL45-1334U-UMA-L6-TPM DDR5 Thirdwave</t>
  </si>
  <si>
    <t xml:space="preserve">CLE-NL45-1335U-UMA-L6-TPM Thirdwave</t>
  </si>
  <si>
    <t xml:space="preserve">CLE-NL45-1355U-UMA-L6-TPM DDR5 Thirdwave</t>
  </si>
  <si>
    <t xml:space="preserve">CLE-NL45-1355U-UMA-L6-TPM Thirdwave</t>
  </si>
  <si>
    <t xml:space="preserve">CLE-NL45-150U-UMA-L6-TPM DDR5 Thirdwave</t>
  </si>
  <si>
    <t xml:space="preserve">CLE-NL45-150U-UMA-L6-TPM Thirdwave</t>
  </si>
  <si>
    <t xml:space="preserve">CLE-NL45-7430U-UMA-L6-TPM Thirdwave</t>
  </si>
  <si>
    <t xml:space="preserve">CLE-NL55-1315U-UMA-L6-TPM Thirdwave</t>
  </si>
  <si>
    <t xml:space="preserve">CLE-NL55-1334U-UMA-L6-TPM Thirdwave</t>
  </si>
  <si>
    <t xml:space="preserve">CLE-NL55-1335U-UMA-L6-TPM DDR4 TW</t>
  </si>
  <si>
    <t xml:space="preserve">CLE-NL55-1335U-UMA-L6-TPM DDR5 TW</t>
  </si>
  <si>
    <t xml:space="preserve">CLE-NL55-1355U-UMA-L6-TPM DDR4 TW</t>
  </si>
  <si>
    <t xml:space="preserve">CLE-NL55-1355U-UMA-L6-TPM Thirdwave</t>
  </si>
  <si>
    <t xml:space="preserve">CLE-NL75-1334U-UMA-L6-TPM Thirdwave</t>
  </si>
  <si>
    <t xml:space="preserve">CLE-V35-14650HX-5050-L6</t>
  </si>
  <si>
    <t xml:space="preserve">CLE-V35-14650HX-5050-L6 Creator</t>
  </si>
  <si>
    <t xml:space="preserve">CLE-V35-14650HX-5060-L6</t>
  </si>
  <si>
    <t xml:space="preserve">CLE-V35-14650HX-5060-L6 Creator</t>
  </si>
  <si>
    <t xml:space="preserve">CLE-V37-14900HX-5070-L6 Creator</t>
  </si>
  <si>
    <t xml:space="preserve">CLE-V54-AI9-470-UMA-L6 Creator</t>
  </si>
  <si>
    <t xml:space="preserve">CLE-V54-HX370-UMA-L6 Creator</t>
  </si>
  <si>
    <t xml:space="preserve">CLE-V540-155H-4050-L6</t>
  </si>
  <si>
    <t xml:space="preserve">CLE-V540-155H-UMA-L6 raytrek</t>
  </si>
  <si>
    <t xml:space="preserve">CLE-V56-350-5060-L6</t>
  </si>
  <si>
    <t xml:space="preserve">CLE-V56-AI9-470-5060-L6 Creator</t>
  </si>
  <si>
    <t xml:space="preserve">CLE-V74-R5-7535HS-L6-TPM-DDR5-TW-BK</t>
  </si>
  <si>
    <t xml:space="preserve">CLE-V74-R5-7535HS-L6-TPM-DDR5-TW-BL</t>
  </si>
  <si>
    <t xml:space="preserve">CLE-V74-R5-7535HS-L6-TPM-DDR5-TW-RG</t>
  </si>
  <si>
    <t xml:space="preserve">CLE-V74-U5-125U-L6-TPM-DDR5-TW-BK</t>
  </si>
  <si>
    <t xml:space="preserve">CLE-V74-U5-125U-L6-TPM-DDR5-TW-BL</t>
  </si>
  <si>
    <t xml:space="preserve">CLE-V74-U5-125U-L6-TPM-DDR5-TW-RG</t>
  </si>
  <si>
    <t xml:space="preserve">CLE-V74-U7-155U-L6-TPM-DDR5-TW-BK</t>
  </si>
  <si>
    <t xml:space="preserve">CLE-V74-U7-155U-L6-TPM-DDR5-TW-BL</t>
  </si>
  <si>
    <t xml:space="preserve">CLE-V74-U7-155U-L6-TPM-DDR5-TW-RG</t>
  </si>
  <si>
    <t xml:space="preserve">CLE-V75-155H-UMA-L6-TPM-DDR5</t>
  </si>
  <si>
    <t xml:space="preserve">CLE-X58-275HX-5090-L6</t>
  </si>
  <si>
    <t xml:space="preserve">CLE-X58-290HXP-5090-L6-GG</t>
  </si>
  <si>
    <t xml:space="preserve">MSH-15F3-185H-5000-L6 Thirdwave</t>
  </si>
  <si>
    <t xml:space="preserve">MSH-15F4-185H-2000-L6 Thirdwave</t>
  </si>
  <si>
    <t xml:space="preserve">MSH-15F4-185H-2000-L6 raytrek</t>
  </si>
  <si>
    <t xml:space="preserve">MSH-15F5-255H-5060-L6 Creator</t>
  </si>
  <si>
    <t xml:space="preserve">QNT-LGHB-1335U-UMA-L6</t>
  </si>
  <si>
    <t xml:space="preserve">QNT-LGHB-1355U-UMA-L6</t>
  </si>
  <si>
    <t xml:space="preserve">QNT-NLT-240H-5050-L6-GC</t>
  </si>
  <si>
    <t xml:space="preserve">QNT-NLT-240H-5060-L6-GC</t>
  </si>
  <si>
    <t xml:space="preserve">TFH-E-13420H-3050-L6</t>
  </si>
  <si>
    <t xml:space="preserve">UNW-2-14650HX-5060-L6-DDR5-15.3</t>
  </si>
  <si>
    <t xml:space="preserve">UNW-E-13620H-3050-L6</t>
  </si>
  <si>
    <t xml:space="preserve">UNW-E-13620H-3050-L6 Creator</t>
  </si>
  <si>
    <t xml:space="preserve">UNW-E-13620H-4050-L6</t>
  </si>
  <si>
    <t xml:space="preserve">UNW-E-13620H-4050-L6 Creator</t>
  </si>
  <si>
    <t xml:space="preserve">UNW-E-14450HX-5050-L6-DDR5-15.6</t>
  </si>
  <si>
    <t xml:space="preserve">UNW-K-255HX-5070-L6</t>
  </si>
  <si>
    <t xml:space="preserve">UNW-K-275HX-5070Ti-L6</t>
  </si>
  <si>
    <t xml:space="preserve">UNW-K-9955HX-5070Ti-L6</t>
  </si>
  <si>
    <t xml:space="preserve">UNW-U-14650HX-5060-L6 Thirdwave</t>
  </si>
  <si>
    <t xml:space="preserve">UNW-U-255HX-5060-L6</t>
  </si>
  <si>
    <t xml:space="preserve">UNW-Y-290HXP-5080-L6-GC</t>
  </si>
  <si>
    <t xml:space="preserve">WZN-1051-1315U-UMA-L6 Thirdwave</t>
  </si>
  <si>
    <t xml:space="preserve">WZN-1051-1334U-UMA-L6 Thirdwave</t>
  </si>
  <si>
    <t xml:space="preserve">WZN-1051-1335U-UMA-L6 Thirdwave</t>
  </si>
  <si>
    <t xml:space="preserve">WZN-1051-1355U-UMA-L6 Thirdwave</t>
  </si>
  <si>
    <t xml:space="preserve">Unique Products (excl. rollups)</t>
  </si>
  <si>
    <t xml:space="preserve">Physical Stock (SAP, units)</t>
  </si>
  <si>
    <t xml:space="preserve">Current Stock (ONE plan, units)</t>
  </si>
  <si>
    <t xml:space="preserve">Used-Sold This Week (Plan)</t>
  </si>
  <si>
    <t xml:space="preserve">Used-Sold This Week (Actual, tracked items)</t>
  </si>
  <si>
    <t xml:space="preserve">Forecast 3-Month Total</t>
  </si>
  <si>
    <t xml:space="preserve">TOTAL</t>
  </si>
  <si>
    <t xml:space="preserve">CONSOLIDATED PROCUREMENT MASTER - 534 unique products (526 real products + 8 rollup subtotal rows)</t>
  </si>
  <si>
    <t xml:space="preserve">Data as of:</t>
  </si>
  <si>
    <t xml:space="preserve">Stock = 29-30 Jun 2026 snapshots. Forecast = Jul, Aug, Sep 2026 (the 3 months after the stock date).</t>
  </si>
  <si>
    <t xml:space="preserve">COLUMN DEFINITIONS</t>
  </si>
  <si>
    <r>
      <rPr>
        <sz val="10"/>
        <rFont val="Arial"/>
        <family val="0"/>
        <charset val="1"/>
      </rPr>
      <t xml:space="preserve">Actual physical units on hand across all warehouses. Source: purchasing/</t>
    </r>
    <r>
      <rPr>
        <sz val="10"/>
        <rFont val="Noto Sans CJK SC"/>
        <family val="2"/>
      </rPr>
      <t xml:space="preserve">実在庫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貼付用</t>
    </r>
    <r>
      <rPr>
        <sz val="10"/>
        <rFont val="Arial"/>
        <family val="0"/>
        <charset val="1"/>
      </rPr>
      <t xml:space="preserve">_20260630 (built from 260629</t>
    </r>
    <r>
      <rPr>
        <sz val="10"/>
        <rFont val="Noto Sans CJK SC"/>
        <family val="2"/>
      </rPr>
      <t xml:space="preserve">在庫</t>
    </r>
    <r>
      <rPr>
        <sz val="10"/>
        <rFont val="Arial"/>
        <family val="0"/>
        <charset val="1"/>
      </rPr>
      <t xml:space="preserve">.xlsx / SAP ZM13). Blank = item is not SAP-managed (all NotePC and packaging items are outside SAP by design; a few others are flagged </t>
    </r>
    <r>
      <rPr>
        <sz val="10"/>
        <rFont val="Noto Sans CJK SC"/>
        <family val="2"/>
      </rPr>
      <t xml:space="preserve">未対応 </t>
    </r>
    <r>
      <rPr>
        <sz val="10"/>
        <rFont val="Arial"/>
        <family val="0"/>
        <charset val="1"/>
      </rPr>
      <t xml:space="preserve">in the source master).</t>
    </r>
  </si>
  <si>
    <r>
      <rPr>
        <sz val="10"/>
        <rFont val="Arial"/>
        <family val="0"/>
        <charset val="1"/>
      </rPr>
      <t xml:space="preserve">Stock balance (</t>
    </r>
    <r>
      <rPr>
        <sz val="10"/>
        <rFont val="Noto Sans CJK SC"/>
        <family val="2"/>
      </rPr>
      <t xml:space="preserve">在庫残高</t>
    </r>
    <r>
      <rPr>
        <sz val="10"/>
        <rFont val="Arial"/>
        <family val="0"/>
        <charset val="1"/>
      </rPr>
      <t xml:space="preserve">) on 30 Jun 2026 in each ONE_08 category planning file, </t>
    </r>
    <r>
      <rPr>
        <sz val="10"/>
        <rFont val="Noto Sans CJK SC"/>
        <family val="2"/>
      </rPr>
      <t xml:space="preserve">部品詳細 </t>
    </r>
    <r>
      <rPr>
        <sz val="10"/>
        <rFont val="Arial"/>
        <family val="0"/>
        <charset val="1"/>
      </rPr>
      <t xml:space="preserve">sheet. Verified to match the purchasing master ONE</t>
    </r>
    <r>
      <rPr>
        <sz val="10"/>
        <rFont val="Noto Sans CJK SC"/>
        <family val="2"/>
      </rPr>
      <t xml:space="preserve">在庫残高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現</t>
    </r>
    <r>
      <rPr>
        <sz val="10"/>
        <rFont val="Arial"/>
        <family val="0"/>
        <charset val="1"/>
      </rPr>
      <t xml:space="preserve">) column exactly for all 534 items.</t>
    </r>
  </si>
  <si>
    <r>
      <rPr>
        <sz val="10"/>
        <rFont val="Arial"/>
        <family val="0"/>
        <charset val="1"/>
      </rPr>
      <t xml:space="preserve">Units consumed in production, week commencing Mon 29 Jun 2026 (29 Jun - 5 Jul), summed from the daily </t>
    </r>
    <r>
      <rPr>
        <sz val="10"/>
        <rFont val="Noto Sans CJK SC"/>
        <family val="2"/>
      </rPr>
      <t xml:space="preserve">生産計画 </t>
    </r>
    <r>
      <rPr>
        <sz val="10"/>
        <rFont val="Arial"/>
        <family val="0"/>
        <charset val="1"/>
      </rPr>
      <t xml:space="preserve">rows in each category file. This is the operative production plan for the week - decimals occur because monthly plans are spread across days.</t>
    </r>
  </si>
  <si>
    <t xml:space="preserve">Used-Sold This Week (Actual)</t>
  </si>
  <si>
    <r>
      <rPr>
        <sz val="10"/>
        <rFont val="Arial"/>
        <family val="0"/>
        <charset val="1"/>
      </rPr>
      <t xml:space="preserve">Actual component usage for the same week (w/c 29 Jun) from planning/④</t>
    </r>
    <r>
      <rPr>
        <sz val="10"/>
        <rFont val="Noto Sans CJK SC"/>
        <family val="2"/>
      </rPr>
      <t xml:space="preserve">部材利用数 全ブランド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週次</t>
    </r>
    <r>
      <rPr>
        <sz val="10"/>
        <rFont val="Arial"/>
        <family val="0"/>
        <charset val="1"/>
      </rPr>
      <t xml:space="preserve">). Only ~350 fast-moving desktop components (VGA, CPU, Case, MB, fans/coolers, RTX) are tracked there; blank = not tracked in that file, not zero.</t>
    </r>
  </si>
  <si>
    <t xml:space="preserve">Forecast Jul/Aug/Sep-2026</t>
  </si>
  <si>
    <r>
      <rPr>
        <sz val="10"/>
        <rFont val="Arial"/>
        <family val="0"/>
        <charset val="1"/>
      </rPr>
      <t xml:space="preserve">Forecast demand (production usage) per month, summed from the daily </t>
    </r>
    <r>
      <rPr>
        <sz val="10"/>
        <rFont val="Noto Sans CJK SC"/>
        <family val="2"/>
      </rPr>
      <t xml:space="preserve">生産計画 </t>
    </r>
    <r>
      <rPr>
        <sz val="10"/>
        <rFont val="Arial"/>
        <family val="0"/>
        <charset val="1"/>
      </rPr>
      <t xml:space="preserve">in each category file. Cross-checked against ONE</t>
    </r>
    <r>
      <rPr>
        <sz val="10"/>
        <rFont val="Noto Sans CJK SC"/>
        <family val="2"/>
      </rPr>
      <t xml:space="preserve">計画</t>
    </r>
    <r>
      <rPr>
        <sz val="10"/>
        <rFont val="Arial"/>
        <family val="0"/>
        <charset val="1"/>
      </rPr>
      <t xml:space="preserve">.xlsm </t>
    </r>
    <r>
      <rPr>
        <sz val="10"/>
        <rFont val="Noto Sans CJK SC"/>
        <family val="2"/>
      </rPr>
      <t xml:space="preserve">部品予測 </t>
    </r>
    <r>
      <rPr>
        <sz val="10"/>
        <rFont val="Arial"/>
        <family val="0"/>
        <charset val="1"/>
      </rPr>
      <t xml:space="preserve">monthly forecast: 97% of items agree within ±15% (median ratio 1.00).</t>
    </r>
  </si>
  <si>
    <t xml:space="preserve">Excel formula = Jul + Aug + Sep.</t>
  </si>
  <si>
    <t xml:space="preserve">DE-DUPLICATION</t>
  </si>
  <si>
    <t xml:space="preserve">1</t>
  </si>
  <si>
    <r>
      <rPr>
        <sz val="10"/>
        <rFont val="Arial"/>
        <family val="0"/>
        <charset val="1"/>
      </rPr>
      <t xml:space="preserve">The two files </t>
    </r>
    <r>
      <rPr>
        <sz val="10"/>
        <rFont val="Noto Sans CJK SC"/>
        <family val="2"/>
      </rPr>
      <t xml:space="preserve">販売計画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月提出分</t>
    </r>
    <r>
      <rPr>
        <sz val="10"/>
        <rFont val="Arial"/>
        <family val="0"/>
        <charset val="1"/>
      </rPr>
      <t xml:space="preserve">...xlsx and ...(2).xlsx in purchasing are byte-identical duplicates of each other - counted once.</t>
    </r>
  </si>
  <si>
    <t xml:space="preserve">2</t>
  </si>
  <si>
    <r>
      <rPr>
        <sz val="10"/>
        <rFont val="Arial"/>
        <family val="0"/>
        <charset val="1"/>
      </rPr>
      <t xml:space="preserve">Products appearing in both the purchasing stock master and the ONE planning files were matched 1:1 on Category + </t>
    </r>
    <r>
      <rPr>
        <sz val="10"/>
        <rFont val="Noto Sans CJK SC"/>
        <family val="2"/>
      </rPr>
      <t xml:space="preserve">綽名 </t>
    </r>
    <r>
      <rPr>
        <sz val="10"/>
        <rFont val="Arial"/>
        <family val="0"/>
        <charset val="1"/>
      </rPr>
      <t xml:space="preserve">(534/534 matched, zero orphans on either side).</t>
    </r>
  </si>
  <si>
    <t xml:space="preserve">3</t>
  </si>
  <si>
    <r>
      <rPr>
        <sz val="10"/>
        <rFont val="Arial"/>
        <family val="0"/>
        <charset val="1"/>
      </rPr>
      <t xml:space="preserve">8 rows are ROLLUPS (subtotals of their variants): 6 MEM </t>
    </r>
    <r>
      <rPr>
        <sz val="10"/>
        <rFont val="Noto Sans CJK SC"/>
        <family val="2"/>
      </rPr>
      <t xml:space="preserve">合計 </t>
    </r>
    <r>
      <rPr>
        <sz val="10"/>
        <rFont val="Arial"/>
        <family val="0"/>
        <charset val="1"/>
      </rPr>
      <t xml:space="preserve">rows and 2 Case SK/SKM </t>
    </r>
    <r>
      <rPr>
        <sz val="10"/>
        <rFont val="Noto Sans CJK SC"/>
        <family val="2"/>
      </rPr>
      <t xml:space="preserve">合計 </t>
    </r>
    <r>
      <rPr>
        <sz val="10"/>
        <rFont val="Arial"/>
        <family val="0"/>
        <charset val="1"/>
      </rPr>
      <t xml:space="preserve">rows. They are highlighted yellow, typed "Rollup", and EXCLUDED from the Category Summary so nothing is double counted. Real unique product count = 526.</t>
    </r>
  </si>
  <si>
    <t xml:space="preserve">CAVEATS</t>
  </si>
  <si>
    <t xml:space="preserve">a</t>
  </si>
  <si>
    <t xml:space="preserve">"Sold this week" is measured as units built into / consumed by production (this is a component procurement operation; components are "sold" by being built into PCs). It is not retail sell-through.</t>
  </si>
  <si>
    <t xml:space="preserve">b</t>
  </si>
  <si>
    <t xml:space="preserve">Negative or fractional stock in the ONE plan column reflects the planning simulation, not physical reality - use the SAP column for physical units where available.</t>
  </si>
  <si>
    <t xml:space="preserve">c</t>
  </si>
  <si>
    <t xml:space="preserve">Finished-goods sales plans (planning/① and ②, by PC model, Jun-Nov 2026) drive these component forecasts and are already reflected in the forecast columns.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</si>
</sst>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26"/>
    <col collapsed="false" customWidth="true" hidden="false" outlineLevel="0" max="6" min="5" style="0" width="14"/>
    <col collapsed="false" customWidth="true" hidden="false" outlineLevel="0" max="8" min="7" style="0" width="15"/>
    <col collapsed="false" customWidth="true" hidden="false" outlineLevel="0" max="11" min="9" style="0" width="12"/>
    <col collapsed="false" customWidth="true" hidden="false" outlineLevel="0" max="12" min="12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3" t="n">
        <v>90</v>
      </c>
      <c r="F2" s="4" t="n">
        <v>67</v>
      </c>
      <c r="G2" s="4" t="n">
        <v>20</v>
      </c>
      <c r="H2" s="4"/>
      <c r="I2" s="4" t="n">
        <v>88.6</v>
      </c>
      <c r="J2" s="4" t="n">
        <v>62.8</v>
      </c>
      <c r="K2" s="4" t="n">
        <v>57.8</v>
      </c>
      <c r="L2" s="4" t="n">
        <f aca="false">IF(COUNT(I2:K2)=0,"",SUM(I2:K2))</f>
        <v>209.2</v>
      </c>
    </row>
    <row r="3" customFormat="false" ht="15" hidden="false" customHeight="false" outlineLevel="0" collapsed="false">
      <c r="A3" s="2" t="n">
        <v>2</v>
      </c>
      <c r="B3" s="2" t="s">
        <v>12</v>
      </c>
      <c r="C3" s="2" t="s">
        <v>15</v>
      </c>
      <c r="D3" s="2" t="s">
        <v>14</v>
      </c>
      <c r="E3" s="3" t="n">
        <v>95</v>
      </c>
      <c r="F3" s="4" t="n">
        <v>46.9</v>
      </c>
      <c r="G3" s="4" t="n">
        <v>44</v>
      </c>
      <c r="H3" s="4"/>
      <c r="I3" s="4" t="n">
        <v>194.9</v>
      </c>
      <c r="J3" s="4" t="n">
        <v>139</v>
      </c>
      <c r="K3" s="4" t="n">
        <v>127.9</v>
      </c>
      <c r="L3" s="4" t="n">
        <f aca="false">IF(COUNT(I3:K3)=0,"",SUM(I3:K3))</f>
        <v>461.8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16</v>
      </c>
      <c r="D4" s="2" t="s">
        <v>14</v>
      </c>
      <c r="E4" s="3" t="n">
        <v>973</v>
      </c>
      <c r="F4" s="4" t="n">
        <v>893.4</v>
      </c>
      <c r="G4" s="4" t="n">
        <v>59</v>
      </c>
      <c r="H4" s="4"/>
      <c r="I4" s="4" t="n">
        <v>261.3</v>
      </c>
      <c r="J4" s="4" t="n">
        <v>175.4</v>
      </c>
      <c r="K4" s="4" t="n">
        <v>160.9</v>
      </c>
      <c r="L4" s="4" t="n">
        <f aca="false">IF(COUNT(I4:K4)=0,"",SUM(I4:K4))</f>
        <v>597.6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17</v>
      </c>
      <c r="D5" s="2" t="s">
        <v>14</v>
      </c>
      <c r="E5" s="3" t="n">
        <v>973</v>
      </c>
      <c r="F5" s="4" t="n">
        <v>42.6</v>
      </c>
      <c r="G5" s="4" t="n">
        <v>40</v>
      </c>
      <c r="H5" s="4"/>
      <c r="I5" s="4" t="n">
        <v>177.1</v>
      </c>
      <c r="J5" s="4" t="n">
        <v>155.5</v>
      </c>
      <c r="K5" s="4" t="n">
        <v>144.4</v>
      </c>
      <c r="L5" s="4" t="n">
        <f aca="false">IF(COUNT(I5:K5)=0,"",SUM(I5:K5))</f>
        <v>477</v>
      </c>
    </row>
    <row r="6" customFormat="false" ht="15" hidden="false" customHeight="false" outlineLevel="0" collapsed="false">
      <c r="A6" s="2" t="n">
        <v>5</v>
      </c>
      <c r="B6" s="2" t="s">
        <v>12</v>
      </c>
      <c r="C6" s="2" t="s">
        <v>18</v>
      </c>
      <c r="D6" s="2" t="s">
        <v>14</v>
      </c>
      <c r="E6" s="3" t="n">
        <v>1957</v>
      </c>
      <c r="F6" s="4" t="n">
        <v>1751.1</v>
      </c>
      <c r="G6" s="4" t="n">
        <v>183</v>
      </c>
      <c r="H6" s="4"/>
      <c r="I6" s="4" t="n">
        <v>810.4</v>
      </c>
      <c r="J6" s="4" t="n">
        <v>574</v>
      </c>
      <c r="K6" s="4" t="n">
        <v>528.1</v>
      </c>
      <c r="L6" s="4" t="n">
        <f aca="false">IF(COUNT(I6:K6)=0,"",SUM(I6:K6))</f>
        <v>1912.5</v>
      </c>
    </row>
    <row r="7" customFormat="false" ht="15" hidden="false" customHeight="false" outlineLevel="0" collapsed="false">
      <c r="A7" s="2" t="n">
        <v>6</v>
      </c>
      <c r="B7" s="2" t="s">
        <v>12</v>
      </c>
      <c r="C7" s="2" t="s">
        <v>19</v>
      </c>
      <c r="D7" s="2" t="s">
        <v>14</v>
      </c>
      <c r="E7" s="3" t="n">
        <v>18</v>
      </c>
      <c r="F7" s="4" t="n">
        <v>16</v>
      </c>
      <c r="G7" s="4" t="n">
        <v>0.9</v>
      </c>
      <c r="H7" s="4"/>
      <c r="I7" s="4" t="n">
        <v>3.8</v>
      </c>
      <c r="J7" s="4" t="n">
        <v>3.2</v>
      </c>
      <c r="K7" s="4" t="n">
        <v>3</v>
      </c>
      <c r="L7" s="4" t="n">
        <f aca="false">IF(COUNT(I7:K7)=0,"",SUM(I7:K7))</f>
        <v>10</v>
      </c>
    </row>
    <row r="8" customFormat="false" ht="15" hidden="false" customHeight="false" outlineLevel="0" collapsed="false">
      <c r="A8" s="2" t="n">
        <v>7</v>
      </c>
      <c r="B8" s="2" t="s">
        <v>12</v>
      </c>
      <c r="C8" s="2" t="s">
        <v>20</v>
      </c>
      <c r="D8" s="2" t="s">
        <v>14</v>
      </c>
      <c r="E8" s="3" t="n">
        <v>13</v>
      </c>
      <c r="F8" s="4" t="n">
        <v>10.7</v>
      </c>
      <c r="G8" s="4" t="n">
        <v>1</v>
      </c>
      <c r="H8" s="4"/>
      <c r="I8" s="4" t="n">
        <v>4.4</v>
      </c>
      <c r="J8" s="4" t="n">
        <v>3.8</v>
      </c>
      <c r="K8" s="4" t="n">
        <v>3.5</v>
      </c>
      <c r="L8" s="4" t="n">
        <f aca="false">IF(COUNT(I8:K8)=0,"",SUM(I8:K8))</f>
        <v>11.7</v>
      </c>
    </row>
    <row r="9" customFormat="false" ht="15" hidden="false" customHeight="false" outlineLevel="0" collapsed="false">
      <c r="A9" s="2" t="n">
        <v>8</v>
      </c>
      <c r="B9" s="2" t="s">
        <v>12</v>
      </c>
      <c r="C9" s="2" t="s">
        <v>21</v>
      </c>
      <c r="D9" s="2" t="s">
        <v>14</v>
      </c>
      <c r="E9" s="3" t="n">
        <v>7</v>
      </c>
      <c r="F9" s="4" t="n">
        <v>7</v>
      </c>
      <c r="G9" s="4" t="n">
        <v>0</v>
      </c>
      <c r="H9" s="4"/>
      <c r="I9" s="4" t="n">
        <v>0</v>
      </c>
      <c r="J9" s="4" t="n">
        <v>0</v>
      </c>
      <c r="K9" s="4" t="n">
        <v>0</v>
      </c>
      <c r="L9" s="4" t="n">
        <f aca="false">IF(COUNT(I9:K9)=0,"",SUM(I9:K9))</f>
        <v>0</v>
      </c>
    </row>
    <row r="10" customFormat="false" ht="15" hidden="false" customHeight="false" outlineLevel="0" collapsed="false">
      <c r="A10" s="2" t="n">
        <v>9</v>
      </c>
      <c r="B10" s="2" t="s">
        <v>12</v>
      </c>
      <c r="C10" s="2" t="s">
        <v>22</v>
      </c>
      <c r="D10" s="2" t="s">
        <v>14</v>
      </c>
      <c r="E10" s="3" t="n">
        <v>2145</v>
      </c>
      <c r="F10" s="4" t="n">
        <v>2164.4</v>
      </c>
      <c r="G10" s="4" t="n">
        <v>72</v>
      </c>
      <c r="H10" s="4"/>
      <c r="I10" s="4" t="n">
        <v>318.9</v>
      </c>
      <c r="J10" s="4" t="n">
        <v>1542.5</v>
      </c>
      <c r="K10" s="4" t="n">
        <v>1477.1</v>
      </c>
      <c r="L10" s="4" t="n">
        <f aca="false">IF(COUNT(I10:K10)=0,"",SUM(I10:K10))</f>
        <v>3338.5</v>
      </c>
    </row>
    <row r="11" customFormat="false" ht="15" hidden="false" customHeight="false" outlineLevel="0" collapsed="false">
      <c r="A11" s="2" t="n">
        <v>10</v>
      </c>
      <c r="B11" s="2" t="s">
        <v>12</v>
      </c>
      <c r="C11" s="2" t="s">
        <v>23</v>
      </c>
      <c r="D11" s="2" t="s">
        <v>14</v>
      </c>
      <c r="E11" s="3" t="n">
        <v>1954</v>
      </c>
      <c r="F11" s="4" t="n">
        <v>1463.9</v>
      </c>
      <c r="G11" s="4" t="n">
        <v>1101</v>
      </c>
      <c r="H11" s="4"/>
      <c r="I11" s="4" t="n">
        <v>4875.9</v>
      </c>
      <c r="J11" s="4" t="n">
        <v>3838.1</v>
      </c>
      <c r="K11" s="4" t="n">
        <v>3548.3</v>
      </c>
      <c r="L11" s="4" t="n">
        <f aca="false">IF(COUNT(I11:K11)=0,"",SUM(I11:K11))</f>
        <v>12262.3</v>
      </c>
    </row>
    <row r="12" customFormat="false" ht="15" hidden="false" customHeight="false" outlineLevel="0" collapsed="false">
      <c r="A12" s="2" t="n">
        <v>11</v>
      </c>
      <c r="B12" s="2" t="s">
        <v>12</v>
      </c>
      <c r="C12" s="2" t="s">
        <v>24</v>
      </c>
      <c r="D12" s="2" t="s">
        <v>14</v>
      </c>
      <c r="E12" s="3" t="n">
        <v>452</v>
      </c>
      <c r="F12" s="4" t="n">
        <v>405.3</v>
      </c>
      <c r="G12" s="4" t="n">
        <v>73</v>
      </c>
      <c r="H12" s="4"/>
      <c r="I12" s="4" t="n">
        <v>323.3</v>
      </c>
      <c r="J12" s="4" t="n">
        <v>237.3</v>
      </c>
      <c r="K12" s="4" t="n">
        <v>218.7</v>
      </c>
      <c r="L12" s="4" t="n">
        <f aca="false">IF(COUNT(I12:K12)=0,"",SUM(I12:K12))</f>
        <v>779.3</v>
      </c>
    </row>
    <row r="13" customFormat="false" ht="15" hidden="false" customHeight="false" outlineLevel="0" collapsed="false">
      <c r="A13" s="2" t="n">
        <v>12</v>
      </c>
      <c r="B13" s="2" t="s">
        <v>12</v>
      </c>
      <c r="C13" s="2" t="s">
        <v>25</v>
      </c>
      <c r="D13" s="2" t="s">
        <v>14</v>
      </c>
      <c r="E13" s="3" t="n">
        <v>10</v>
      </c>
      <c r="F13" s="4" t="n">
        <v>12.7</v>
      </c>
      <c r="G13" s="4" t="n">
        <v>1</v>
      </c>
      <c r="H13" s="4"/>
      <c r="I13" s="4" t="n">
        <v>4.4</v>
      </c>
      <c r="J13" s="4" t="n">
        <v>3.8</v>
      </c>
      <c r="K13" s="4" t="n">
        <v>3.5</v>
      </c>
      <c r="L13" s="4" t="n">
        <f aca="false">IF(COUNT(I13:K13)=0,"",SUM(I13:K13))</f>
        <v>11.7</v>
      </c>
    </row>
    <row r="14" customFormat="false" ht="15" hidden="false" customHeight="false" outlineLevel="0" collapsed="false">
      <c r="A14" s="2" t="n">
        <v>13</v>
      </c>
      <c r="B14" s="2" t="s">
        <v>12</v>
      </c>
      <c r="C14" s="2" t="s">
        <v>26</v>
      </c>
      <c r="D14" s="2" t="s">
        <v>14</v>
      </c>
      <c r="E14" s="3" t="n">
        <v>1143</v>
      </c>
      <c r="F14" s="4" t="n">
        <v>798.9</v>
      </c>
      <c r="G14" s="4" t="n">
        <v>234</v>
      </c>
      <c r="H14" s="4"/>
      <c r="I14" s="4" t="n">
        <v>1036.3</v>
      </c>
      <c r="J14" s="4" t="n">
        <v>735.4</v>
      </c>
      <c r="K14" s="4" t="n">
        <v>676.7</v>
      </c>
      <c r="L14" s="4" t="n">
        <f aca="false">IF(COUNT(I14:K14)=0,"",SUM(I14:K14))</f>
        <v>2448.4</v>
      </c>
    </row>
    <row r="15" customFormat="false" ht="15" hidden="false" customHeight="false" outlineLevel="0" collapsed="false">
      <c r="A15" s="2" t="n">
        <v>14</v>
      </c>
      <c r="B15" s="2" t="s">
        <v>12</v>
      </c>
      <c r="C15" s="2" t="s">
        <v>27</v>
      </c>
      <c r="D15" s="2" t="s">
        <v>14</v>
      </c>
      <c r="E15" s="3" t="n">
        <v>1613</v>
      </c>
      <c r="F15" s="4" t="n">
        <v>1482.1</v>
      </c>
      <c r="G15" s="4" t="n">
        <v>163</v>
      </c>
      <c r="H15" s="4"/>
      <c r="I15" s="4" t="n">
        <v>721.9</v>
      </c>
      <c r="J15" s="4" t="n">
        <v>515.5</v>
      </c>
      <c r="K15" s="4" t="n">
        <v>474.5</v>
      </c>
      <c r="L15" s="4" t="n">
        <f aca="false">IF(COUNT(I15:K15)=0,"",SUM(I15:K15))</f>
        <v>1711.9</v>
      </c>
    </row>
    <row r="16" customFormat="false" ht="15" hidden="false" customHeight="false" outlineLevel="0" collapsed="false">
      <c r="A16" s="2" t="n">
        <v>15</v>
      </c>
      <c r="B16" s="2" t="s">
        <v>12</v>
      </c>
      <c r="C16" s="2" t="s">
        <v>28</v>
      </c>
      <c r="D16" s="2" t="s">
        <v>14</v>
      </c>
      <c r="E16" s="3" t="n">
        <v>86</v>
      </c>
      <c r="F16" s="4" t="n">
        <v>86.7</v>
      </c>
      <c r="G16" s="4" t="n">
        <v>1</v>
      </c>
      <c r="H16" s="4"/>
      <c r="I16" s="4" t="n">
        <v>4.4</v>
      </c>
      <c r="J16" s="4" t="n">
        <v>3.8</v>
      </c>
      <c r="K16" s="4" t="n">
        <v>3.5</v>
      </c>
      <c r="L16" s="4" t="n">
        <f aca="false">IF(COUNT(I16:K16)=0,"",SUM(I16:K16))</f>
        <v>11.7</v>
      </c>
    </row>
    <row r="17" customFormat="false" ht="15" hidden="false" customHeight="false" outlineLevel="0" collapsed="false">
      <c r="A17" s="2" t="n">
        <v>16</v>
      </c>
      <c r="B17" s="2" t="s">
        <v>12</v>
      </c>
      <c r="C17" s="2" t="s">
        <v>29</v>
      </c>
      <c r="D17" s="2" t="s">
        <v>14</v>
      </c>
      <c r="E17" s="3" t="n">
        <v>45</v>
      </c>
      <c r="F17" s="4" t="n">
        <v>45.9</v>
      </c>
      <c r="G17" s="4" t="n">
        <v>7</v>
      </c>
      <c r="H17" s="4"/>
      <c r="I17" s="4" t="n">
        <v>31</v>
      </c>
      <c r="J17" s="4" t="n">
        <v>22.4</v>
      </c>
      <c r="K17" s="4" t="n">
        <v>20.6</v>
      </c>
      <c r="L17" s="4" t="n">
        <f aca="false">IF(COUNT(I17:K17)=0,"",SUM(I17:K17))</f>
        <v>74</v>
      </c>
    </row>
    <row r="18" customFormat="false" ht="15" hidden="false" customHeight="false" outlineLevel="0" collapsed="false">
      <c r="A18" s="2" t="n">
        <v>17</v>
      </c>
      <c r="B18" s="2" t="s">
        <v>12</v>
      </c>
      <c r="C18" s="2" t="s">
        <v>30</v>
      </c>
      <c r="D18" s="2" t="s">
        <v>14</v>
      </c>
      <c r="E18" s="3" t="n">
        <v>521</v>
      </c>
      <c r="F18" s="4" t="n">
        <v>460.4</v>
      </c>
      <c r="G18" s="4" t="n">
        <v>42</v>
      </c>
      <c r="H18" s="4"/>
      <c r="I18" s="4" t="n">
        <v>186</v>
      </c>
      <c r="J18" s="4" t="n">
        <v>78.8</v>
      </c>
      <c r="K18" s="4" t="n">
        <v>70.1</v>
      </c>
      <c r="L18" s="4" t="n">
        <f aca="false">IF(COUNT(I18:K18)=0,"",SUM(I18:K18))</f>
        <v>334.9</v>
      </c>
    </row>
    <row r="19" customFormat="false" ht="15" hidden="false" customHeight="false" outlineLevel="0" collapsed="false">
      <c r="A19" s="2" t="n">
        <v>18</v>
      </c>
      <c r="B19" s="2" t="s">
        <v>12</v>
      </c>
      <c r="C19" s="2" t="s">
        <v>31</v>
      </c>
      <c r="D19" s="2" t="s">
        <v>14</v>
      </c>
      <c r="E19" s="3" t="n">
        <v>21</v>
      </c>
      <c r="F19" s="4" t="n">
        <v>19.4</v>
      </c>
      <c r="G19" s="4" t="n">
        <v>2</v>
      </c>
      <c r="H19" s="4"/>
      <c r="I19" s="4" t="n">
        <v>8.9</v>
      </c>
      <c r="J19" s="4" t="n">
        <v>7.5</v>
      </c>
      <c r="K19" s="4" t="n">
        <v>7</v>
      </c>
      <c r="L19" s="4" t="n">
        <f aca="false">IF(COUNT(I19:K19)=0,"",SUM(I19:K19))</f>
        <v>23.4</v>
      </c>
    </row>
    <row r="20" customFormat="false" ht="15" hidden="false" customHeight="false" outlineLevel="0" collapsed="false">
      <c r="A20" s="2" t="n">
        <v>19</v>
      </c>
      <c r="B20" s="2" t="s">
        <v>12</v>
      </c>
      <c r="C20" s="2" t="s">
        <v>32</v>
      </c>
      <c r="D20" s="2" t="s">
        <v>14</v>
      </c>
      <c r="E20" s="3" t="n">
        <v>970</v>
      </c>
      <c r="F20" s="4" t="n">
        <v>125.7</v>
      </c>
      <c r="G20" s="4" t="n">
        <v>313</v>
      </c>
      <c r="H20" s="4" t="n">
        <v>544</v>
      </c>
      <c r="I20" s="4" t="n">
        <v>1386.1</v>
      </c>
      <c r="J20" s="4" t="n">
        <v>1211.6</v>
      </c>
      <c r="K20" s="4" t="n">
        <v>1162.3</v>
      </c>
      <c r="L20" s="4" t="n">
        <f aca="false">IF(COUNT(I20:K20)=0,"",SUM(I20:K20))</f>
        <v>3760</v>
      </c>
    </row>
    <row r="21" customFormat="false" ht="15" hidden="false" customHeight="false" outlineLevel="0" collapsed="false">
      <c r="A21" s="2" t="n">
        <v>20</v>
      </c>
      <c r="B21" s="2" t="s">
        <v>12</v>
      </c>
      <c r="C21" s="2" t="s">
        <v>33</v>
      </c>
      <c r="D21" s="2" t="s">
        <v>14</v>
      </c>
      <c r="E21" s="3" t="n">
        <v>701</v>
      </c>
      <c r="F21" s="4" t="n">
        <v>79.4</v>
      </c>
      <c r="G21" s="4" t="n">
        <v>198</v>
      </c>
      <c r="H21" s="4" t="n">
        <v>178</v>
      </c>
      <c r="I21" s="4" t="n">
        <v>876.9</v>
      </c>
      <c r="J21" s="4" t="n">
        <v>744.9</v>
      </c>
      <c r="K21" s="4" t="n">
        <v>714.3</v>
      </c>
      <c r="L21" s="4" t="n">
        <f aca="false">IF(COUNT(I21:K21)=0,"",SUM(I21:K21))</f>
        <v>2336.1</v>
      </c>
    </row>
    <row r="22" customFormat="false" ht="15" hidden="false" customHeight="false" outlineLevel="0" collapsed="false">
      <c r="A22" s="2" t="n">
        <v>21</v>
      </c>
      <c r="B22" s="2" t="s">
        <v>12</v>
      </c>
      <c r="C22" s="2" t="s">
        <v>34</v>
      </c>
      <c r="D22" s="2" t="s">
        <v>14</v>
      </c>
      <c r="E22" s="3" t="n">
        <v>63</v>
      </c>
      <c r="F22" s="4" t="n">
        <v>17.7</v>
      </c>
      <c r="G22" s="4" t="n">
        <v>18</v>
      </c>
      <c r="H22" s="4" t="n">
        <v>25</v>
      </c>
      <c r="I22" s="4" t="n">
        <v>79.7</v>
      </c>
      <c r="J22" s="4" t="n">
        <v>71.1</v>
      </c>
      <c r="K22" s="4" t="n">
        <v>67.4</v>
      </c>
      <c r="L22" s="4" t="n">
        <f aca="false">IF(COUNT(I22:K22)=0,"",SUM(I22:K22))</f>
        <v>218.2</v>
      </c>
    </row>
    <row r="23" customFormat="false" ht="15" hidden="false" customHeight="false" outlineLevel="0" collapsed="false">
      <c r="A23" s="2" t="n">
        <v>22</v>
      </c>
      <c r="B23" s="2" t="s">
        <v>12</v>
      </c>
      <c r="C23" s="2" t="s">
        <v>35</v>
      </c>
      <c r="D23" s="2" t="s">
        <v>14</v>
      </c>
      <c r="E23" s="3" t="n">
        <v>167</v>
      </c>
      <c r="F23" s="4" t="n">
        <v>150.3</v>
      </c>
      <c r="G23" s="4" t="n">
        <v>9</v>
      </c>
      <c r="H23" s="4" t="n">
        <v>0</v>
      </c>
      <c r="I23" s="4" t="n">
        <v>39.9</v>
      </c>
      <c r="J23" s="4" t="n">
        <v>31</v>
      </c>
      <c r="K23" s="4" t="n">
        <v>25.7</v>
      </c>
      <c r="L23" s="4" t="n">
        <f aca="false">IF(COUNT(I23:K23)=0,"",SUM(I23:K23))</f>
        <v>96.6</v>
      </c>
    </row>
    <row r="24" customFormat="false" ht="15" hidden="false" customHeight="false" outlineLevel="0" collapsed="false">
      <c r="A24" s="2" t="n">
        <v>23</v>
      </c>
      <c r="B24" s="2" t="s">
        <v>12</v>
      </c>
      <c r="C24" s="2" t="s">
        <v>36</v>
      </c>
      <c r="D24" s="2" t="s">
        <v>14</v>
      </c>
      <c r="E24" s="3" t="n">
        <v>360</v>
      </c>
      <c r="F24" s="4" t="n">
        <v>76.6</v>
      </c>
      <c r="G24" s="4" t="n">
        <v>119</v>
      </c>
      <c r="H24" s="4" t="n">
        <v>163</v>
      </c>
      <c r="I24" s="4" t="n">
        <v>527</v>
      </c>
      <c r="J24" s="4" t="n">
        <v>458.7</v>
      </c>
      <c r="K24" s="4" t="n">
        <v>438.3</v>
      </c>
      <c r="L24" s="4" t="n">
        <f aca="false">IF(COUNT(I24:K24)=0,"",SUM(I24:K24))</f>
        <v>1424</v>
      </c>
    </row>
    <row r="25" customFormat="false" ht="15" hidden="false" customHeight="false" outlineLevel="0" collapsed="false">
      <c r="A25" s="2" t="n">
        <v>24</v>
      </c>
      <c r="B25" s="2" t="s">
        <v>12</v>
      </c>
      <c r="C25" s="2" t="s">
        <v>37</v>
      </c>
      <c r="D25" s="2" t="s">
        <v>14</v>
      </c>
      <c r="E25" s="3" t="n">
        <v>849</v>
      </c>
      <c r="F25" s="4" t="n">
        <v>441.1</v>
      </c>
      <c r="G25" s="4" t="n">
        <v>255</v>
      </c>
      <c r="H25" s="4" t="n">
        <v>320</v>
      </c>
      <c r="I25" s="4" t="n">
        <v>1129.3</v>
      </c>
      <c r="J25" s="4" t="n">
        <v>992.7</v>
      </c>
      <c r="K25" s="4" t="n">
        <v>1073.4</v>
      </c>
      <c r="L25" s="4" t="n">
        <f aca="false">IF(COUNT(I25:K25)=0,"",SUM(I25:K25))</f>
        <v>3195.4</v>
      </c>
    </row>
    <row r="26" customFormat="false" ht="15" hidden="false" customHeight="false" outlineLevel="0" collapsed="false">
      <c r="A26" s="2" t="n">
        <v>25</v>
      </c>
      <c r="B26" s="2" t="s">
        <v>12</v>
      </c>
      <c r="C26" s="2" t="s">
        <v>38</v>
      </c>
      <c r="D26" s="2" t="s">
        <v>14</v>
      </c>
      <c r="E26" s="3" t="n">
        <v>23</v>
      </c>
      <c r="F26" s="4" t="n">
        <v>24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f aca="false">IF(COUNT(I26:K26)=0,"",SUM(I26:K26))</f>
        <v>0</v>
      </c>
    </row>
    <row r="27" customFormat="false" ht="15" hidden="false" customHeight="false" outlineLevel="0" collapsed="false">
      <c r="A27" s="2" t="n">
        <v>26</v>
      </c>
      <c r="B27" s="2" t="s">
        <v>12</v>
      </c>
      <c r="C27" s="2" t="s">
        <v>39</v>
      </c>
      <c r="D27" s="2" t="s">
        <v>14</v>
      </c>
      <c r="E27" s="3" t="n">
        <v>57</v>
      </c>
      <c r="F27" s="4" t="n">
        <v>52.7</v>
      </c>
      <c r="G27" s="4" t="n">
        <v>0</v>
      </c>
      <c r="H27" s="4" t="n">
        <v>20</v>
      </c>
      <c r="I27" s="4" t="n">
        <v>0</v>
      </c>
      <c r="J27" s="4" t="n">
        <v>0</v>
      </c>
      <c r="K27" s="4" t="n">
        <v>0</v>
      </c>
      <c r="L27" s="4" t="n">
        <f aca="false">IF(COUNT(I27:K27)=0,"",SUM(I27:K27))</f>
        <v>0</v>
      </c>
    </row>
    <row r="28" customFormat="false" ht="15" hidden="false" customHeight="false" outlineLevel="0" collapsed="false">
      <c r="A28" s="2" t="n">
        <v>27</v>
      </c>
      <c r="B28" s="2" t="s">
        <v>12</v>
      </c>
      <c r="C28" s="2" t="s">
        <v>40</v>
      </c>
      <c r="D28" s="2" t="s">
        <v>14</v>
      </c>
      <c r="E28" s="3" t="n">
        <v>15</v>
      </c>
      <c r="F28" s="4" t="n">
        <v>13.7</v>
      </c>
      <c r="G28" s="4" t="n">
        <v>1</v>
      </c>
      <c r="H28" s="4" t="n">
        <v>1</v>
      </c>
      <c r="I28" s="4" t="n">
        <v>4.4</v>
      </c>
      <c r="J28" s="4" t="n">
        <v>3.8</v>
      </c>
      <c r="K28" s="4" t="n">
        <v>3.5</v>
      </c>
      <c r="L28" s="4" t="n">
        <f aca="false">IF(COUNT(I28:K28)=0,"",SUM(I28:K28))</f>
        <v>11.7</v>
      </c>
    </row>
    <row r="29" customFormat="false" ht="15" hidden="false" customHeight="false" outlineLevel="0" collapsed="false">
      <c r="A29" s="2" t="n">
        <v>28</v>
      </c>
      <c r="B29" s="2" t="s">
        <v>12</v>
      </c>
      <c r="C29" s="2" t="s">
        <v>41</v>
      </c>
      <c r="D29" s="2" t="s">
        <v>14</v>
      </c>
      <c r="E29" s="3" t="n">
        <v>874</v>
      </c>
      <c r="F29" s="4" t="n">
        <v>62.6</v>
      </c>
      <c r="G29" s="4" t="n">
        <v>68</v>
      </c>
      <c r="H29" s="4" t="n">
        <v>32</v>
      </c>
      <c r="I29" s="4" t="n">
        <v>301.1</v>
      </c>
      <c r="J29" s="4" t="n">
        <v>254.3</v>
      </c>
      <c r="K29" s="4" t="n">
        <v>243.4</v>
      </c>
      <c r="L29" s="4" t="n">
        <f aca="false">IF(COUNT(I29:K29)=0,"",SUM(I29:K29))</f>
        <v>798.8</v>
      </c>
    </row>
    <row r="30" customFormat="false" ht="15" hidden="false" customHeight="false" outlineLevel="0" collapsed="false">
      <c r="A30" s="2" t="n">
        <v>29</v>
      </c>
      <c r="B30" s="2" t="s">
        <v>12</v>
      </c>
      <c r="C30" s="2" t="s">
        <v>42</v>
      </c>
      <c r="D30" s="2" t="s">
        <v>14</v>
      </c>
      <c r="E30" s="3" t="n">
        <v>8</v>
      </c>
      <c r="F30" s="4" t="n">
        <v>10.6</v>
      </c>
      <c r="G30" s="4" t="n">
        <v>5</v>
      </c>
      <c r="H30" s="4" t="n">
        <v>5</v>
      </c>
      <c r="I30" s="4" t="n">
        <v>22.1</v>
      </c>
      <c r="J30" s="4" t="n">
        <v>22.1</v>
      </c>
      <c r="K30" s="4" t="n">
        <v>22.6</v>
      </c>
      <c r="L30" s="4" t="n">
        <f aca="false">IF(COUNT(I30:K30)=0,"",SUM(I30:K30))</f>
        <v>66.8</v>
      </c>
    </row>
    <row r="31" customFormat="false" ht="15" hidden="false" customHeight="false" outlineLevel="0" collapsed="false">
      <c r="A31" s="2" t="n">
        <v>30</v>
      </c>
      <c r="B31" s="2" t="s">
        <v>12</v>
      </c>
      <c r="C31" s="2" t="s">
        <v>43</v>
      </c>
      <c r="D31" s="2" t="s">
        <v>14</v>
      </c>
      <c r="E31" s="3" t="n">
        <v>328</v>
      </c>
      <c r="F31" s="4" t="n">
        <v>32.1</v>
      </c>
      <c r="G31" s="4" t="n">
        <v>37</v>
      </c>
      <c r="H31" s="4" t="n">
        <v>31</v>
      </c>
      <c r="I31" s="4" t="n">
        <v>163.9</v>
      </c>
      <c r="J31" s="4" t="n">
        <v>147</v>
      </c>
      <c r="K31" s="4" t="n">
        <v>144.6</v>
      </c>
      <c r="L31" s="4" t="n">
        <f aca="false">IF(COUNT(I31:K31)=0,"",SUM(I31:K31))</f>
        <v>455.5</v>
      </c>
    </row>
    <row r="32" customFormat="false" ht="15" hidden="false" customHeight="false" outlineLevel="0" collapsed="false">
      <c r="A32" s="2" t="n">
        <v>31</v>
      </c>
      <c r="B32" s="2" t="s">
        <v>12</v>
      </c>
      <c r="C32" s="2" t="s">
        <v>44</v>
      </c>
      <c r="D32" s="2" t="s">
        <v>14</v>
      </c>
      <c r="E32" s="3" t="n">
        <v>32</v>
      </c>
      <c r="F32" s="4" t="n">
        <v>21.6</v>
      </c>
      <c r="G32" s="4" t="n">
        <v>5</v>
      </c>
      <c r="H32" s="4"/>
      <c r="I32" s="4" t="n">
        <v>22.1</v>
      </c>
      <c r="J32" s="4" t="n">
        <v>18.9</v>
      </c>
      <c r="K32" s="4" t="n">
        <v>17.5</v>
      </c>
      <c r="L32" s="4" t="n">
        <f aca="false">IF(COUNT(I32:K32)=0,"",SUM(I32:K32))</f>
        <v>58.5</v>
      </c>
    </row>
    <row r="33" customFormat="false" ht="15" hidden="false" customHeight="false" outlineLevel="0" collapsed="false">
      <c r="A33" s="2" t="n">
        <v>32</v>
      </c>
      <c r="B33" s="2" t="s">
        <v>12</v>
      </c>
      <c r="C33" s="2" t="s">
        <v>45</v>
      </c>
      <c r="D33" s="2" t="s">
        <v>14</v>
      </c>
      <c r="E33" s="3" t="n">
        <v>31</v>
      </c>
      <c r="F33" s="4" t="n">
        <v>22.6</v>
      </c>
      <c r="G33" s="4" t="n">
        <v>12</v>
      </c>
      <c r="H33" s="4"/>
      <c r="I33" s="4" t="n">
        <v>53.1</v>
      </c>
      <c r="J33" s="4" t="n">
        <v>45.2</v>
      </c>
      <c r="K33" s="4" t="n">
        <v>42</v>
      </c>
      <c r="L33" s="4" t="n">
        <f aca="false">IF(COUNT(I33:K33)=0,"",SUM(I33:K33))</f>
        <v>140.3</v>
      </c>
    </row>
    <row r="34" customFormat="false" ht="15" hidden="false" customHeight="false" outlineLevel="0" collapsed="false">
      <c r="A34" s="2" t="n">
        <v>33</v>
      </c>
      <c r="B34" s="2" t="s">
        <v>12</v>
      </c>
      <c r="C34" s="2" t="s">
        <v>46</v>
      </c>
      <c r="D34" s="2" t="s">
        <v>14</v>
      </c>
      <c r="E34" s="3" t="n">
        <v>1466</v>
      </c>
      <c r="F34" s="4" t="n">
        <v>1425.3</v>
      </c>
      <c r="G34" s="4" t="n">
        <v>49</v>
      </c>
      <c r="H34" s="4"/>
      <c r="I34" s="4" t="n">
        <v>217</v>
      </c>
      <c r="J34" s="4" t="n">
        <v>187</v>
      </c>
      <c r="K34" s="4" t="n">
        <v>176</v>
      </c>
      <c r="L34" s="4" t="n">
        <f aca="false">IF(COUNT(I34:K34)=0,"",SUM(I34:K34))</f>
        <v>580</v>
      </c>
    </row>
    <row r="35" customFormat="false" ht="15" hidden="false" customHeight="false" outlineLevel="0" collapsed="false">
      <c r="A35" s="2" t="n">
        <v>34</v>
      </c>
      <c r="B35" s="2" t="s">
        <v>12</v>
      </c>
      <c r="C35" s="2" t="s">
        <v>47</v>
      </c>
      <c r="D35" s="2" t="s">
        <v>14</v>
      </c>
      <c r="E35" s="3" t="n">
        <v>7</v>
      </c>
      <c r="F35" s="4" t="n">
        <v>7</v>
      </c>
      <c r="G35" s="4" t="n">
        <v>0</v>
      </c>
      <c r="H35" s="4"/>
      <c r="I35" s="4" t="n">
        <v>0</v>
      </c>
      <c r="J35" s="4" t="n">
        <v>0</v>
      </c>
      <c r="K35" s="4" t="n">
        <v>0</v>
      </c>
      <c r="L35" s="4" t="n">
        <f aca="false">IF(COUNT(I35:K35)=0,"",SUM(I35:K35))</f>
        <v>0</v>
      </c>
    </row>
    <row r="36" customFormat="false" ht="15" hidden="false" customHeight="false" outlineLevel="0" collapsed="false">
      <c r="A36" s="2" t="n">
        <v>35</v>
      </c>
      <c r="B36" s="2" t="s">
        <v>12</v>
      </c>
      <c r="C36" s="2" t="s">
        <v>48</v>
      </c>
      <c r="D36" s="2" t="s">
        <v>14</v>
      </c>
      <c r="E36" s="3" t="n">
        <v>133</v>
      </c>
      <c r="F36" s="4" t="n">
        <v>160</v>
      </c>
      <c r="G36" s="4" t="n">
        <v>0</v>
      </c>
      <c r="H36" s="4"/>
      <c r="I36" s="4" t="n">
        <v>0</v>
      </c>
      <c r="J36" s="4" t="n">
        <v>0</v>
      </c>
      <c r="K36" s="4" t="n">
        <v>0</v>
      </c>
      <c r="L36" s="4" t="n">
        <f aca="false">IF(COUNT(I36:K36)=0,"",SUM(I36:K36))</f>
        <v>0</v>
      </c>
    </row>
    <row r="37" customFormat="false" ht="15" hidden="false" customHeight="false" outlineLevel="0" collapsed="false">
      <c r="A37" s="2" t="n">
        <v>36</v>
      </c>
      <c r="B37" s="2" t="s">
        <v>12</v>
      </c>
      <c r="C37" s="2" t="s">
        <v>49</v>
      </c>
      <c r="D37" s="2" t="s">
        <v>14</v>
      </c>
      <c r="E37" s="3" t="n">
        <v>105</v>
      </c>
      <c r="F37" s="4" t="n">
        <v>35.6</v>
      </c>
      <c r="G37" s="4" t="n">
        <v>0</v>
      </c>
      <c r="H37" s="4"/>
      <c r="I37" s="4" t="n">
        <v>0</v>
      </c>
      <c r="J37" s="4" t="n">
        <v>0</v>
      </c>
      <c r="K37" s="4" t="n">
        <v>0</v>
      </c>
      <c r="L37" s="4" t="n">
        <f aca="false">IF(COUNT(I37:K37)=0,"",SUM(I37:K37))</f>
        <v>0</v>
      </c>
    </row>
    <row r="38" customFormat="false" ht="15" hidden="false" customHeight="false" outlineLevel="0" collapsed="false">
      <c r="A38" s="2" t="n">
        <v>37</v>
      </c>
      <c r="B38" s="2" t="s">
        <v>12</v>
      </c>
      <c r="C38" s="2" t="s">
        <v>50</v>
      </c>
      <c r="D38" s="2" t="s">
        <v>14</v>
      </c>
      <c r="E38" s="3"/>
      <c r="F38" s="4" t="n">
        <v>-16</v>
      </c>
      <c r="G38" s="4" t="n">
        <v>0</v>
      </c>
      <c r="H38" s="4"/>
      <c r="I38" s="4" t="n">
        <v>0</v>
      </c>
      <c r="J38" s="4" t="n">
        <v>0</v>
      </c>
      <c r="K38" s="4" t="n">
        <v>0</v>
      </c>
      <c r="L38" s="4" t="n">
        <f aca="false">IF(COUNT(I38:K38)=0,"",SUM(I38:K38))</f>
        <v>0</v>
      </c>
    </row>
    <row r="39" customFormat="false" ht="15" hidden="false" customHeight="false" outlineLevel="0" collapsed="false">
      <c r="A39" s="2" t="n">
        <v>38</v>
      </c>
      <c r="B39" s="2" t="s">
        <v>12</v>
      </c>
      <c r="C39" s="2" t="s">
        <v>51</v>
      </c>
      <c r="D39" s="2" t="s">
        <v>14</v>
      </c>
      <c r="E39" s="3" t="n">
        <v>590</v>
      </c>
      <c r="F39" s="4" t="n">
        <v>637.9</v>
      </c>
      <c r="G39" s="4" t="n">
        <v>54</v>
      </c>
      <c r="H39" s="4"/>
      <c r="I39" s="4" t="n">
        <v>239.1</v>
      </c>
      <c r="J39" s="4" t="n">
        <v>205.1</v>
      </c>
      <c r="K39" s="4" t="n">
        <v>197.4</v>
      </c>
      <c r="L39" s="4" t="n">
        <f aca="false">IF(COUNT(I39:K39)=0,"",SUM(I39:K39))</f>
        <v>641.6</v>
      </c>
    </row>
    <row r="40" customFormat="false" ht="15" hidden="false" customHeight="false" outlineLevel="0" collapsed="false">
      <c r="A40" s="2" t="n">
        <v>39</v>
      </c>
      <c r="B40" s="2" t="s">
        <v>52</v>
      </c>
      <c r="C40" s="2" t="s">
        <v>53</v>
      </c>
      <c r="D40" s="2" t="s">
        <v>14</v>
      </c>
      <c r="E40" s="3" t="n">
        <v>1656</v>
      </c>
      <c r="F40" s="4" t="n">
        <v>1616</v>
      </c>
      <c r="G40" s="4" t="n">
        <v>127.6</v>
      </c>
      <c r="H40" s="4"/>
      <c r="I40" s="4" t="n">
        <v>580.3</v>
      </c>
      <c r="J40" s="4" t="n">
        <v>497.1</v>
      </c>
      <c r="K40" s="4" t="n">
        <v>487.9</v>
      </c>
      <c r="L40" s="4" t="n">
        <f aca="false">IF(COUNT(I40:K40)=0,"",SUM(I40:K40))</f>
        <v>1565.3</v>
      </c>
    </row>
    <row r="41" customFormat="false" ht="15" hidden="false" customHeight="false" outlineLevel="0" collapsed="false">
      <c r="A41" s="2" t="n">
        <v>40</v>
      </c>
      <c r="B41" s="2" t="s">
        <v>52</v>
      </c>
      <c r="C41" s="2" t="s">
        <v>54</v>
      </c>
      <c r="D41" s="2" t="s">
        <v>14</v>
      </c>
      <c r="E41" s="3"/>
      <c r="F41" s="4" t="n">
        <v>7154</v>
      </c>
      <c r="G41" s="4" t="n">
        <v>557.5</v>
      </c>
      <c r="H41" s="4" t="n">
        <v>456</v>
      </c>
      <c r="I41" s="4" t="n">
        <v>2538.7</v>
      </c>
      <c r="J41" s="4" t="n">
        <v>1811</v>
      </c>
      <c r="K41" s="4" t="n">
        <v>1756.5</v>
      </c>
      <c r="L41" s="4" t="n">
        <f aca="false">IF(COUNT(I41:K41)=0,"",SUM(I41:K41))</f>
        <v>6106.2</v>
      </c>
    </row>
    <row r="42" customFormat="false" ht="15" hidden="false" customHeight="false" outlineLevel="0" collapsed="false">
      <c r="A42" s="2" t="n">
        <v>41</v>
      </c>
      <c r="B42" s="2" t="s">
        <v>52</v>
      </c>
      <c r="C42" s="2" t="s">
        <v>55</v>
      </c>
      <c r="D42" s="2" t="s">
        <v>14</v>
      </c>
      <c r="E42" s="3" t="n">
        <v>511</v>
      </c>
      <c r="F42" s="4" t="n">
        <v>507.9</v>
      </c>
      <c r="G42" s="4" t="n">
        <v>4.3</v>
      </c>
      <c r="H42" s="4" t="n">
        <v>4</v>
      </c>
      <c r="I42" s="4" t="n">
        <v>19.5</v>
      </c>
      <c r="J42" s="4" t="n">
        <v>16.5</v>
      </c>
      <c r="K42" s="4" t="n">
        <v>16.2</v>
      </c>
      <c r="L42" s="4" t="n">
        <f aca="false">IF(COUNT(I42:K42)=0,"",SUM(I42:K42))</f>
        <v>52.2</v>
      </c>
    </row>
    <row r="43" customFormat="false" ht="15" hidden="false" customHeight="false" outlineLevel="0" collapsed="false">
      <c r="A43" s="2" t="n">
        <v>42</v>
      </c>
      <c r="B43" s="2" t="s">
        <v>52</v>
      </c>
      <c r="C43" s="2" t="s">
        <v>56</v>
      </c>
      <c r="D43" s="2" t="s">
        <v>14</v>
      </c>
      <c r="E43" s="3"/>
      <c r="F43" s="4" t="n">
        <v>3</v>
      </c>
      <c r="G43" s="4" t="n">
        <v>0</v>
      </c>
      <c r="H43" s="4" t="n">
        <v>-1</v>
      </c>
      <c r="I43" s="4" t="n">
        <v>0</v>
      </c>
      <c r="J43" s="4" t="n">
        <v>0</v>
      </c>
      <c r="K43" s="4" t="n">
        <v>0</v>
      </c>
      <c r="L43" s="4" t="n">
        <f aca="false">IF(COUNT(I43:K43)=0,"",SUM(I43:K43))</f>
        <v>0</v>
      </c>
    </row>
    <row r="44" customFormat="false" ht="15" hidden="false" customHeight="false" outlineLevel="0" collapsed="false">
      <c r="A44" s="2" t="n">
        <v>43</v>
      </c>
      <c r="B44" s="2" t="s">
        <v>52</v>
      </c>
      <c r="C44" s="2" t="s">
        <v>57</v>
      </c>
      <c r="D44" s="2" t="s">
        <v>14</v>
      </c>
      <c r="E44" s="3" t="n">
        <v>5075</v>
      </c>
      <c r="F44" s="4" t="n">
        <v>5083.3</v>
      </c>
      <c r="G44" s="4" t="n">
        <v>103.3</v>
      </c>
      <c r="H44" s="4" t="n">
        <v>142</v>
      </c>
      <c r="I44" s="4" t="n">
        <v>470</v>
      </c>
      <c r="J44" s="4" t="n">
        <v>1101</v>
      </c>
      <c r="K44" s="4" t="n">
        <v>1079.6</v>
      </c>
      <c r="L44" s="4" t="n">
        <f aca="false">IF(COUNT(I44:K44)=0,"",SUM(I44:K44))</f>
        <v>2650.6</v>
      </c>
    </row>
    <row r="45" customFormat="false" ht="15" hidden="false" customHeight="false" outlineLevel="0" collapsed="false">
      <c r="A45" s="2" t="n">
        <v>44</v>
      </c>
      <c r="B45" s="2" t="s">
        <v>52</v>
      </c>
      <c r="C45" s="2" t="s">
        <v>58</v>
      </c>
      <c r="D45" s="2" t="s">
        <v>14</v>
      </c>
      <c r="E45" s="3"/>
      <c r="F45" s="4" t="n">
        <v>532</v>
      </c>
      <c r="G45" s="4" t="n">
        <v>0</v>
      </c>
      <c r="H45" s="4" t="n">
        <v>24</v>
      </c>
      <c r="I45" s="4" t="n">
        <v>0</v>
      </c>
      <c r="J45" s="4" t="n">
        <v>0</v>
      </c>
      <c r="K45" s="4" t="n">
        <v>0</v>
      </c>
      <c r="L45" s="4" t="n">
        <f aca="false">IF(COUNT(I45:K45)=0,"",SUM(I45:K45))</f>
        <v>0</v>
      </c>
    </row>
    <row r="46" customFormat="false" ht="15" hidden="false" customHeight="false" outlineLevel="0" collapsed="false">
      <c r="A46" s="2" t="n">
        <v>45</v>
      </c>
      <c r="B46" s="2" t="s">
        <v>52</v>
      </c>
      <c r="C46" s="2" t="s">
        <v>59</v>
      </c>
      <c r="D46" s="2" t="s">
        <v>14</v>
      </c>
      <c r="E46" s="3" t="n">
        <v>26</v>
      </c>
      <c r="F46" s="4" t="n">
        <v>3294</v>
      </c>
      <c r="G46" s="4" t="n">
        <v>98.2</v>
      </c>
      <c r="H46" s="4" t="n">
        <v>53</v>
      </c>
      <c r="I46" s="4" t="n">
        <v>447.7</v>
      </c>
      <c r="J46" s="4" t="n">
        <v>379.4</v>
      </c>
      <c r="K46" s="4" t="n">
        <v>371.9</v>
      </c>
      <c r="L46" s="4" t="n">
        <f aca="false">IF(COUNT(I46:K46)=0,"",SUM(I46:K46))</f>
        <v>1199</v>
      </c>
    </row>
    <row r="47" customFormat="false" ht="15" hidden="false" customHeight="false" outlineLevel="0" collapsed="false">
      <c r="A47" s="2" t="n">
        <v>46</v>
      </c>
      <c r="B47" s="2" t="s">
        <v>52</v>
      </c>
      <c r="C47" s="2" t="s">
        <v>60</v>
      </c>
      <c r="D47" s="2" t="s">
        <v>14</v>
      </c>
      <c r="E47" s="3"/>
      <c r="F47" s="4" t="n">
        <v>30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f aca="false">IF(COUNT(I47:K47)=0,"",SUM(I47:K47))</f>
        <v>0</v>
      </c>
    </row>
    <row r="48" customFormat="false" ht="15" hidden="false" customHeight="false" outlineLevel="0" collapsed="false">
      <c r="A48" s="2" t="n">
        <v>47</v>
      </c>
      <c r="B48" s="2" t="s">
        <v>52</v>
      </c>
      <c r="C48" s="2" t="s">
        <v>61</v>
      </c>
      <c r="D48" s="2" t="s">
        <v>14</v>
      </c>
      <c r="E48" s="3"/>
      <c r="F48" s="4" t="n">
        <v>8642.8</v>
      </c>
      <c r="G48" s="4" t="n">
        <v>507.4</v>
      </c>
      <c r="H48" s="4" t="n">
        <v>668</v>
      </c>
      <c r="I48" s="4" t="n">
        <v>2331</v>
      </c>
      <c r="J48" s="4" t="n">
        <v>2055</v>
      </c>
      <c r="K48" s="4" t="n">
        <v>2035</v>
      </c>
      <c r="L48" s="4" t="n">
        <f aca="false">IF(COUNT(I48:K48)=0,"",SUM(I48:K48))</f>
        <v>6421</v>
      </c>
    </row>
    <row r="49" customFormat="false" ht="15" hidden="false" customHeight="false" outlineLevel="0" collapsed="false">
      <c r="A49" s="2" t="n">
        <v>48</v>
      </c>
      <c r="B49" s="2" t="s">
        <v>52</v>
      </c>
      <c r="C49" s="2" t="s">
        <v>62</v>
      </c>
      <c r="D49" s="2" t="s">
        <v>14</v>
      </c>
      <c r="E49" s="3"/>
      <c r="F49" s="4" t="n">
        <v>0</v>
      </c>
      <c r="G49" s="4" t="n">
        <v>0</v>
      </c>
      <c r="H49" s="4"/>
      <c r="I49" s="4" t="n">
        <v>0</v>
      </c>
      <c r="J49" s="4" t="n">
        <v>0</v>
      </c>
      <c r="K49" s="4" t="n">
        <v>177</v>
      </c>
      <c r="L49" s="4" t="n">
        <f aca="false">IF(COUNT(I49:K49)=0,"",SUM(I49:K49))</f>
        <v>177</v>
      </c>
    </row>
    <row r="50" customFormat="false" ht="15" hidden="false" customHeight="false" outlineLevel="0" collapsed="false">
      <c r="A50" s="2" t="n">
        <v>49</v>
      </c>
      <c r="B50" s="2" t="s">
        <v>52</v>
      </c>
      <c r="C50" s="2" t="s">
        <v>63</v>
      </c>
      <c r="D50" s="2" t="s">
        <v>14</v>
      </c>
      <c r="E50" s="3" t="n">
        <v>259</v>
      </c>
      <c r="F50" s="4" t="n">
        <v>261.9</v>
      </c>
      <c r="G50" s="4" t="n">
        <v>4.3</v>
      </c>
      <c r="H50" s="4" t="n">
        <v>2</v>
      </c>
      <c r="I50" s="4" t="n">
        <v>19.5</v>
      </c>
      <c r="J50" s="4" t="n">
        <v>16.5</v>
      </c>
      <c r="K50" s="4" t="n">
        <v>16.2</v>
      </c>
      <c r="L50" s="4" t="n">
        <f aca="false">IF(COUNT(I50:K50)=0,"",SUM(I50:K50))</f>
        <v>52.2</v>
      </c>
    </row>
    <row r="51" customFormat="false" ht="15" hidden="false" customHeight="false" outlineLevel="0" collapsed="false">
      <c r="A51" s="2" t="n">
        <v>50</v>
      </c>
      <c r="B51" s="2" t="s">
        <v>52</v>
      </c>
      <c r="C51" s="2" t="s">
        <v>64</v>
      </c>
      <c r="D51" s="2" t="s">
        <v>14</v>
      </c>
      <c r="E51" s="3"/>
      <c r="F51" s="4" t="n">
        <v>693.3</v>
      </c>
      <c r="G51" s="4" t="n">
        <v>114</v>
      </c>
      <c r="H51" s="4" t="n">
        <v>105</v>
      </c>
      <c r="I51" s="4" t="n">
        <v>500</v>
      </c>
      <c r="J51" s="4" t="n">
        <v>0</v>
      </c>
      <c r="K51" s="4" t="n">
        <v>0</v>
      </c>
      <c r="L51" s="4" t="n">
        <f aca="false">IF(COUNT(I51:K51)=0,"",SUM(I51:K51))</f>
        <v>500</v>
      </c>
    </row>
    <row r="52" customFormat="false" ht="15" hidden="false" customHeight="false" outlineLevel="0" collapsed="false">
      <c r="A52" s="2" t="n">
        <v>51</v>
      </c>
      <c r="B52" s="2" t="s">
        <v>52</v>
      </c>
      <c r="C52" s="2" t="s">
        <v>65</v>
      </c>
      <c r="D52" s="2" t="s">
        <v>14</v>
      </c>
      <c r="E52" s="3" t="n">
        <v>593</v>
      </c>
      <c r="F52" s="4" t="n">
        <v>598.1</v>
      </c>
      <c r="G52" s="4" t="n">
        <v>6.5</v>
      </c>
      <c r="H52" s="4" t="n">
        <v>11</v>
      </c>
      <c r="I52" s="4" t="n">
        <v>29.8</v>
      </c>
      <c r="J52" s="4" t="n">
        <v>25.3</v>
      </c>
      <c r="K52" s="4" t="n">
        <v>24.8</v>
      </c>
      <c r="L52" s="4" t="n">
        <f aca="false">IF(COUNT(I52:K52)=0,"",SUM(I52:K52))</f>
        <v>79.9</v>
      </c>
    </row>
    <row r="53" customFormat="false" ht="15" hidden="false" customHeight="false" outlineLevel="0" collapsed="false">
      <c r="A53" s="2" t="n">
        <v>52</v>
      </c>
      <c r="B53" s="2" t="s">
        <v>52</v>
      </c>
      <c r="C53" s="2" t="s">
        <v>66</v>
      </c>
      <c r="D53" s="2" t="s">
        <v>14</v>
      </c>
      <c r="E53" s="3" t="n">
        <v>1121</v>
      </c>
      <c r="F53" s="4" t="n">
        <v>966.9</v>
      </c>
      <c r="G53" s="4" t="n">
        <v>181.9</v>
      </c>
      <c r="H53" s="4" t="n">
        <v>406</v>
      </c>
      <c r="I53" s="4" t="n">
        <v>420</v>
      </c>
      <c r="J53" s="4" t="n">
        <v>120</v>
      </c>
      <c r="K53" s="4" t="n">
        <v>130</v>
      </c>
      <c r="L53" s="4" t="n">
        <f aca="false">IF(COUNT(I53:K53)=0,"",SUM(I53:K53))</f>
        <v>670</v>
      </c>
    </row>
    <row r="54" customFormat="false" ht="15" hidden="false" customHeight="false" outlineLevel="0" collapsed="false">
      <c r="A54" s="2" t="n">
        <v>53</v>
      </c>
      <c r="B54" s="2" t="s">
        <v>52</v>
      </c>
      <c r="C54" s="2" t="s">
        <v>67</v>
      </c>
      <c r="D54" s="2" t="s">
        <v>14</v>
      </c>
      <c r="E54" s="3" t="n">
        <v>4086</v>
      </c>
      <c r="F54" s="4" t="n">
        <v>4086</v>
      </c>
      <c r="G54" s="4" t="n">
        <v>246.3</v>
      </c>
      <c r="H54" s="4" t="n">
        <v>0</v>
      </c>
      <c r="I54" s="4" t="n">
        <v>1527</v>
      </c>
      <c r="J54" s="4" t="n">
        <v>1548</v>
      </c>
      <c r="K54" s="4" t="n">
        <v>1517.4</v>
      </c>
      <c r="L54" s="4" t="n">
        <f aca="false">IF(COUNT(I54:K54)=0,"",SUM(I54:K54))</f>
        <v>4592.4</v>
      </c>
    </row>
    <row r="55" customFormat="false" ht="15" hidden="false" customHeight="false" outlineLevel="0" collapsed="false">
      <c r="A55" s="2" t="n">
        <v>54</v>
      </c>
      <c r="B55" s="2" t="s">
        <v>52</v>
      </c>
      <c r="C55" s="2" t="s">
        <v>68</v>
      </c>
      <c r="D55" s="2" t="s">
        <v>14</v>
      </c>
      <c r="E55" s="3"/>
      <c r="F55" s="4" t="n">
        <v>0</v>
      </c>
      <c r="G55" s="4" t="n">
        <v>0</v>
      </c>
      <c r="H55" s="4"/>
      <c r="I55" s="4" t="n">
        <v>0</v>
      </c>
      <c r="J55" s="4" t="n">
        <v>0</v>
      </c>
      <c r="K55" s="4" t="n">
        <v>118</v>
      </c>
      <c r="L55" s="4" t="n">
        <f aca="false">IF(COUNT(I55:K55)=0,"",SUM(I55:K55))</f>
        <v>118</v>
      </c>
    </row>
    <row r="56" customFormat="false" ht="15" hidden="false" customHeight="false" outlineLevel="0" collapsed="false">
      <c r="A56" s="2" t="n">
        <v>55</v>
      </c>
      <c r="B56" s="2" t="s">
        <v>52</v>
      </c>
      <c r="C56" s="2" t="s">
        <v>69</v>
      </c>
      <c r="D56" s="2" t="s">
        <v>14</v>
      </c>
      <c r="E56" s="3" t="n">
        <v>541</v>
      </c>
      <c r="F56" s="4" t="n">
        <v>537.9</v>
      </c>
      <c r="G56" s="4" t="n">
        <v>4.7</v>
      </c>
      <c r="H56" s="4" t="n">
        <v>2</v>
      </c>
      <c r="I56" s="4" t="n">
        <v>21.6</v>
      </c>
      <c r="J56" s="4" t="n">
        <v>18.3</v>
      </c>
      <c r="K56" s="4" t="n">
        <v>18</v>
      </c>
      <c r="L56" s="4" t="n">
        <f aca="false">IF(COUNT(I56:K56)=0,"",SUM(I56:K56))</f>
        <v>57.9</v>
      </c>
    </row>
    <row r="57" customFormat="false" ht="15" hidden="false" customHeight="false" outlineLevel="0" collapsed="false">
      <c r="A57" s="2" t="n">
        <v>56</v>
      </c>
      <c r="B57" s="2" t="s">
        <v>52</v>
      </c>
      <c r="C57" s="2" t="s">
        <v>70</v>
      </c>
      <c r="D57" s="2" t="s">
        <v>14</v>
      </c>
      <c r="E57" s="3" t="n">
        <v>9524</v>
      </c>
      <c r="F57" s="4" t="n">
        <v>9173</v>
      </c>
      <c r="G57" s="4" t="n">
        <v>353.6</v>
      </c>
      <c r="H57" s="4" t="n">
        <v>312</v>
      </c>
      <c r="I57" s="4" t="n">
        <v>1291.7</v>
      </c>
      <c r="J57" s="4" t="n">
        <v>1130.1</v>
      </c>
      <c r="K57" s="4" t="n">
        <v>1113.5</v>
      </c>
      <c r="L57" s="4" t="n">
        <f aca="false">IF(COUNT(I57:K57)=0,"",SUM(I57:K57))</f>
        <v>3535.3</v>
      </c>
    </row>
    <row r="58" customFormat="false" ht="15" hidden="false" customHeight="false" outlineLevel="0" collapsed="false">
      <c r="A58" s="2" t="n">
        <v>57</v>
      </c>
      <c r="B58" s="2" t="s">
        <v>52</v>
      </c>
      <c r="C58" s="2" t="s">
        <v>71</v>
      </c>
      <c r="D58" s="2" t="s">
        <v>14</v>
      </c>
      <c r="E58" s="3" t="n">
        <v>97</v>
      </c>
      <c r="F58" s="4" t="n">
        <v>292.3</v>
      </c>
      <c r="G58" s="4" t="n">
        <v>11.4</v>
      </c>
      <c r="H58" s="4" t="n">
        <v>11</v>
      </c>
      <c r="I58" s="4" t="n">
        <v>50</v>
      </c>
      <c r="J58" s="4" t="n">
        <v>50</v>
      </c>
      <c r="K58" s="4" t="n">
        <v>50</v>
      </c>
      <c r="L58" s="4" t="n">
        <f aca="false">IF(COUNT(I58:K58)=0,"",SUM(I58:K58))</f>
        <v>150</v>
      </c>
    </row>
    <row r="59" customFormat="false" ht="15" hidden="false" customHeight="false" outlineLevel="0" collapsed="false">
      <c r="A59" s="2" t="n">
        <v>58</v>
      </c>
      <c r="B59" s="2" t="s">
        <v>52</v>
      </c>
      <c r="C59" s="2" t="s">
        <v>72</v>
      </c>
      <c r="D59" s="2" t="s">
        <v>14</v>
      </c>
      <c r="E59" s="3"/>
      <c r="F59" s="4" t="n">
        <v>1729.2</v>
      </c>
      <c r="G59" s="4" t="n">
        <v>31</v>
      </c>
      <c r="H59" s="4"/>
      <c r="I59" s="4" t="n">
        <v>137.6</v>
      </c>
      <c r="J59" s="4" t="n">
        <v>210</v>
      </c>
      <c r="K59" s="4" t="n">
        <v>205.8</v>
      </c>
      <c r="L59" s="4" t="n">
        <f aca="false">IF(COUNT(I59:K59)=0,"",SUM(I59:K59))</f>
        <v>553.4</v>
      </c>
    </row>
    <row r="60" customFormat="false" ht="15" hidden="false" customHeight="false" outlineLevel="0" collapsed="false">
      <c r="A60" s="2" t="n">
        <v>59</v>
      </c>
      <c r="B60" s="2" t="s">
        <v>52</v>
      </c>
      <c r="C60" s="2" t="s">
        <v>73</v>
      </c>
      <c r="D60" s="2" t="s">
        <v>14</v>
      </c>
      <c r="E60" s="3" t="n">
        <v>80</v>
      </c>
      <c r="F60" s="4" t="n">
        <v>81</v>
      </c>
      <c r="G60" s="4" t="n">
        <v>0</v>
      </c>
      <c r="H60" s="4"/>
      <c r="I60" s="4" t="n">
        <v>0</v>
      </c>
      <c r="J60" s="4" t="n">
        <v>0</v>
      </c>
      <c r="K60" s="4" t="n">
        <v>0</v>
      </c>
      <c r="L60" s="4" t="n">
        <f aca="false">IF(COUNT(I60:K60)=0,"",SUM(I60:K60))</f>
        <v>0</v>
      </c>
    </row>
    <row r="61" customFormat="false" ht="15" hidden="false" customHeight="false" outlineLevel="0" collapsed="false">
      <c r="A61" s="2" t="n">
        <v>60</v>
      </c>
      <c r="B61" s="2" t="s">
        <v>52</v>
      </c>
      <c r="C61" s="2" t="s">
        <v>74</v>
      </c>
      <c r="D61" s="2" t="s">
        <v>14</v>
      </c>
      <c r="E61" s="3" t="n">
        <v>70</v>
      </c>
      <c r="F61" s="4" t="n">
        <v>113</v>
      </c>
      <c r="G61" s="4" t="n">
        <v>6.8</v>
      </c>
      <c r="H61" s="4"/>
      <c r="I61" s="4" t="n">
        <v>30</v>
      </c>
      <c r="J61" s="4" t="n">
        <v>20</v>
      </c>
      <c r="K61" s="4" t="n">
        <v>0</v>
      </c>
      <c r="L61" s="4" t="n">
        <f aca="false">IF(COUNT(I61:K61)=0,"",SUM(I61:K61))</f>
        <v>50</v>
      </c>
    </row>
    <row r="62" customFormat="false" ht="15" hidden="false" customHeight="false" outlineLevel="0" collapsed="false">
      <c r="A62" s="2" t="n">
        <v>61</v>
      </c>
      <c r="B62" s="2" t="s">
        <v>52</v>
      </c>
      <c r="C62" s="2" t="s">
        <v>75</v>
      </c>
      <c r="D62" s="2" t="s">
        <v>14</v>
      </c>
      <c r="E62" s="3" t="n">
        <v>4544</v>
      </c>
      <c r="F62" s="4" t="n">
        <v>4510.8</v>
      </c>
      <c r="G62" s="4" t="n">
        <v>163</v>
      </c>
      <c r="H62" s="4" t="n">
        <v>105</v>
      </c>
      <c r="I62" s="4" t="n">
        <v>742.9</v>
      </c>
      <c r="J62" s="4" t="n">
        <v>629.6</v>
      </c>
      <c r="K62" s="4" t="n">
        <v>617.1</v>
      </c>
      <c r="L62" s="4" t="n">
        <f aca="false">IF(COUNT(I62:K62)=0,"",SUM(I62:K62))</f>
        <v>1989.6</v>
      </c>
    </row>
    <row r="63" customFormat="false" ht="15" hidden="false" customHeight="false" outlineLevel="0" collapsed="false">
      <c r="A63" s="2" t="n">
        <v>62</v>
      </c>
      <c r="B63" s="2" t="s">
        <v>52</v>
      </c>
      <c r="C63" s="2" t="s">
        <v>76</v>
      </c>
      <c r="D63" s="2" t="s">
        <v>14</v>
      </c>
      <c r="E63" s="3"/>
      <c r="F63" s="4" t="n">
        <v>505.6</v>
      </c>
      <c r="G63" s="4" t="n">
        <v>15.5</v>
      </c>
      <c r="H63" s="4"/>
      <c r="I63" s="4" t="n">
        <v>68.8</v>
      </c>
      <c r="J63" s="4" t="n">
        <v>105</v>
      </c>
      <c r="K63" s="4" t="n">
        <v>102.9</v>
      </c>
      <c r="L63" s="4" t="n">
        <f aca="false">IF(COUNT(I63:K63)=0,"",SUM(I63:K63))</f>
        <v>276.7</v>
      </c>
    </row>
    <row r="64" customFormat="false" ht="15" hidden="false" customHeight="false" outlineLevel="0" collapsed="false">
      <c r="A64" s="2" t="n">
        <v>63</v>
      </c>
      <c r="B64" s="2" t="s">
        <v>52</v>
      </c>
      <c r="C64" s="2" t="s">
        <v>77</v>
      </c>
      <c r="D64" s="2" t="s">
        <v>14</v>
      </c>
      <c r="E64" s="3"/>
      <c r="F64" s="4" t="n">
        <v>2903.7</v>
      </c>
      <c r="G64" s="4" t="n">
        <v>53</v>
      </c>
      <c r="H64" s="4"/>
      <c r="I64" s="4" t="n">
        <v>193.8</v>
      </c>
      <c r="J64" s="4" t="n">
        <v>169.5</v>
      </c>
      <c r="K64" s="4" t="n">
        <v>167</v>
      </c>
      <c r="L64" s="4" t="n">
        <f aca="false">IF(COUNT(I64:K64)=0,"",SUM(I64:K64))</f>
        <v>530.3</v>
      </c>
    </row>
    <row r="65" customFormat="false" ht="15" hidden="false" customHeight="false" outlineLevel="0" collapsed="false">
      <c r="A65" s="2" t="n">
        <v>64</v>
      </c>
      <c r="B65" s="2" t="s">
        <v>52</v>
      </c>
      <c r="C65" s="2" t="s">
        <v>78</v>
      </c>
      <c r="D65" s="2" t="s">
        <v>14</v>
      </c>
      <c r="E65" s="3"/>
      <c r="F65" s="4" t="n">
        <v>20</v>
      </c>
      <c r="G65" s="4" t="n">
        <v>0</v>
      </c>
      <c r="H65" s="4"/>
      <c r="I65" s="4" t="n">
        <v>0</v>
      </c>
      <c r="J65" s="4" t="n">
        <v>0</v>
      </c>
      <c r="K65" s="4" t="n">
        <v>0</v>
      </c>
      <c r="L65" s="4" t="n">
        <f aca="false">IF(COUNT(I65:K65)=0,"",SUM(I65:K65))</f>
        <v>0</v>
      </c>
    </row>
    <row r="66" customFormat="false" ht="15" hidden="false" customHeight="false" outlineLevel="0" collapsed="false">
      <c r="A66" s="2" t="n">
        <v>65</v>
      </c>
      <c r="B66" s="2" t="s">
        <v>52</v>
      </c>
      <c r="C66" s="2" t="s">
        <v>79</v>
      </c>
      <c r="D66" s="2" t="s">
        <v>14</v>
      </c>
      <c r="E66" s="3"/>
      <c r="F66" s="4" t="n">
        <v>103.6</v>
      </c>
      <c r="G66" s="4" t="n">
        <v>35.5</v>
      </c>
      <c r="H66" s="4"/>
      <c r="I66" s="4" t="n">
        <v>172</v>
      </c>
      <c r="J66" s="4" t="n">
        <v>0</v>
      </c>
      <c r="K66" s="4" t="n">
        <v>0</v>
      </c>
      <c r="L66" s="4" t="n">
        <f aca="false">IF(COUNT(I66:K66)=0,"",SUM(I66:K66))</f>
        <v>172</v>
      </c>
    </row>
    <row r="67" customFormat="false" ht="15" hidden="false" customHeight="false" outlineLevel="0" collapsed="false">
      <c r="A67" s="2" t="n">
        <v>66</v>
      </c>
      <c r="B67" s="2" t="s">
        <v>52</v>
      </c>
      <c r="C67" s="2" t="s">
        <v>80</v>
      </c>
      <c r="D67" s="2" t="s">
        <v>14</v>
      </c>
      <c r="E67" s="3"/>
      <c r="F67" s="4" t="n">
        <v>199.7</v>
      </c>
      <c r="G67" s="4" t="n">
        <v>10.4</v>
      </c>
      <c r="H67" s="4" t="n">
        <v>4</v>
      </c>
      <c r="I67" s="4" t="n">
        <v>55</v>
      </c>
      <c r="J67" s="4" t="n">
        <v>60</v>
      </c>
      <c r="K67" s="4" t="n">
        <v>16</v>
      </c>
      <c r="L67" s="4" t="n">
        <f aca="false">IF(COUNT(I67:K67)=0,"",SUM(I67:K67))</f>
        <v>131</v>
      </c>
    </row>
    <row r="68" customFormat="false" ht="15" hidden="false" customHeight="false" outlineLevel="0" collapsed="false">
      <c r="A68" s="2" t="n">
        <v>67</v>
      </c>
      <c r="B68" s="2" t="s">
        <v>52</v>
      </c>
      <c r="C68" s="2" t="s">
        <v>81</v>
      </c>
      <c r="D68" s="2" t="s">
        <v>14</v>
      </c>
      <c r="E68" s="3"/>
      <c r="F68" s="4" t="n">
        <v>170.4</v>
      </c>
      <c r="G68" s="4" t="n">
        <v>10.3</v>
      </c>
      <c r="H68" s="4" t="n">
        <v>2</v>
      </c>
      <c r="I68" s="4" t="n">
        <v>46.2</v>
      </c>
      <c r="J68" s="4" t="n">
        <v>26</v>
      </c>
      <c r="K68" s="4" t="n">
        <v>15.8</v>
      </c>
      <c r="L68" s="4" t="n">
        <f aca="false">IF(COUNT(I68:K68)=0,"",SUM(I68:K68))</f>
        <v>88</v>
      </c>
    </row>
    <row r="69" customFormat="false" ht="15" hidden="false" customHeight="false" outlineLevel="0" collapsed="false">
      <c r="A69" s="2" t="n">
        <v>68</v>
      </c>
      <c r="B69" s="2" t="s">
        <v>52</v>
      </c>
      <c r="C69" s="2" t="s">
        <v>82</v>
      </c>
      <c r="D69" s="2" t="s">
        <v>14</v>
      </c>
      <c r="E69" s="3" t="n">
        <v>13076</v>
      </c>
      <c r="F69" s="4" t="n">
        <v>13040.1</v>
      </c>
      <c r="G69" s="4" t="n">
        <v>595.3</v>
      </c>
      <c r="H69" s="4"/>
      <c r="I69" s="4" t="n">
        <v>2715.9</v>
      </c>
      <c r="J69" s="4" t="n">
        <v>2462.4</v>
      </c>
      <c r="K69" s="4" t="n">
        <v>2419.3</v>
      </c>
      <c r="L69" s="4" t="n">
        <f aca="false">IF(COUNT(I69:K69)=0,"",SUM(I69:K69))</f>
        <v>7597.6</v>
      </c>
    </row>
    <row r="70" customFormat="false" ht="15" hidden="false" customHeight="false" outlineLevel="0" collapsed="false">
      <c r="A70" s="2" t="n">
        <v>69</v>
      </c>
      <c r="B70" s="2" t="s">
        <v>52</v>
      </c>
      <c r="C70" s="2" t="s">
        <v>83</v>
      </c>
      <c r="D70" s="2" t="s">
        <v>14</v>
      </c>
      <c r="E70" s="3" t="n">
        <v>759</v>
      </c>
      <c r="F70" s="4" t="n">
        <v>760</v>
      </c>
      <c r="G70" s="4" t="n">
        <v>0</v>
      </c>
      <c r="H70" s="4"/>
      <c r="I70" s="4" t="n">
        <v>0</v>
      </c>
      <c r="J70" s="4" t="n">
        <v>0</v>
      </c>
      <c r="K70" s="4" t="n">
        <v>0</v>
      </c>
      <c r="L70" s="4" t="n">
        <f aca="false">IF(COUNT(I70:K70)=0,"",SUM(I70:K70))</f>
        <v>0</v>
      </c>
    </row>
    <row r="71" customFormat="false" ht="15" hidden="false" customHeight="false" outlineLevel="0" collapsed="false">
      <c r="A71" s="2" t="n">
        <v>70</v>
      </c>
      <c r="B71" s="2" t="s">
        <v>52</v>
      </c>
      <c r="C71" s="2" t="s">
        <v>84</v>
      </c>
      <c r="D71" s="2" t="s">
        <v>14</v>
      </c>
      <c r="E71" s="3"/>
      <c r="F71" s="4" t="n">
        <v>6508.8</v>
      </c>
      <c r="G71" s="4" t="n">
        <v>14.7</v>
      </c>
      <c r="H71" s="4"/>
      <c r="I71" s="4" t="n">
        <v>67.2</v>
      </c>
      <c r="J71" s="4" t="n">
        <v>56.9</v>
      </c>
      <c r="K71" s="4" t="n">
        <v>55.8</v>
      </c>
      <c r="L71" s="4" t="n">
        <f aca="false">IF(COUNT(I71:K71)=0,"",SUM(I71:K71))</f>
        <v>179.9</v>
      </c>
    </row>
    <row r="72" customFormat="false" ht="15" hidden="false" customHeight="false" outlineLevel="0" collapsed="false">
      <c r="A72" s="2" t="n">
        <v>71</v>
      </c>
      <c r="B72" s="2" t="s">
        <v>52</v>
      </c>
      <c r="C72" s="2" t="s">
        <v>85</v>
      </c>
      <c r="D72" s="2" t="s">
        <v>14</v>
      </c>
      <c r="E72" s="3"/>
      <c r="F72" s="4" t="n">
        <v>4934.7</v>
      </c>
      <c r="G72" s="4" t="n">
        <v>60.4</v>
      </c>
      <c r="H72" s="4"/>
      <c r="I72" s="4" t="n">
        <v>275.3</v>
      </c>
      <c r="J72" s="4" t="n">
        <v>444.1</v>
      </c>
      <c r="K72" s="4" t="n">
        <v>435.5</v>
      </c>
      <c r="L72" s="4" t="n">
        <f aca="false">IF(COUNT(I72:K72)=0,"",SUM(I72:K72))</f>
        <v>1154.9</v>
      </c>
    </row>
    <row r="73" customFormat="false" ht="15" hidden="false" customHeight="false" outlineLevel="0" collapsed="false">
      <c r="A73" s="2" t="n">
        <v>72</v>
      </c>
      <c r="B73" s="2" t="s">
        <v>52</v>
      </c>
      <c r="C73" s="2" t="s">
        <v>86</v>
      </c>
      <c r="D73" s="2" t="s">
        <v>14</v>
      </c>
      <c r="E73" s="3" t="n">
        <v>204</v>
      </c>
      <c r="F73" s="4" t="n">
        <v>508.9</v>
      </c>
      <c r="G73" s="4" t="n">
        <v>45.2</v>
      </c>
      <c r="H73" s="4" t="n">
        <v>58</v>
      </c>
      <c r="I73" s="4" t="n">
        <v>198</v>
      </c>
      <c r="J73" s="4" t="n">
        <v>78</v>
      </c>
      <c r="K73" s="4" t="n">
        <v>76.5</v>
      </c>
      <c r="L73" s="4" t="n">
        <f aca="false">IF(COUNT(I73:K73)=0,"",SUM(I73:K73))</f>
        <v>352.5</v>
      </c>
    </row>
    <row r="74" customFormat="false" ht="15" hidden="false" customHeight="false" outlineLevel="0" collapsed="false">
      <c r="A74" s="2" t="n">
        <v>73</v>
      </c>
      <c r="B74" s="2" t="s">
        <v>52</v>
      </c>
      <c r="C74" s="2" t="s">
        <v>87</v>
      </c>
      <c r="D74" s="2" t="s">
        <v>14</v>
      </c>
      <c r="E74" s="3" t="n">
        <v>1222</v>
      </c>
      <c r="F74" s="4" t="n">
        <v>1232.7</v>
      </c>
      <c r="G74" s="4" t="n">
        <v>128.6</v>
      </c>
      <c r="H74" s="4"/>
      <c r="I74" s="4" t="n">
        <v>570.2</v>
      </c>
      <c r="J74" s="4" t="n">
        <v>483.8</v>
      </c>
      <c r="K74" s="4" t="n">
        <v>474.1</v>
      </c>
      <c r="L74" s="4" t="n">
        <f aca="false">IF(COUNT(I74:K74)=0,"",SUM(I74:K74))</f>
        <v>1528.1</v>
      </c>
    </row>
    <row r="75" customFormat="false" ht="15" hidden="false" customHeight="false" outlineLevel="0" collapsed="false">
      <c r="A75" s="2" t="n">
        <v>74</v>
      </c>
      <c r="B75" s="2" t="s">
        <v>52</v>
      </c>
      <c r="C75" s="2" t="s">
        <v>88</v>
      </c>
      <c r="D75" s="2" t="s">
        <v>14</v>
      </c>
      <c r="E75" s="3" t="n">
        <v>1852</v>
      </c>
      <c r="F75" s="4" t="n">
        <v>1889.9</v>
      </c>
      <c r="G75" s="4" t="n">
        <v>60.7</v>
      </c>
      <c r="H75" s="4" t="n">
        <v>79</v>
      </c>
      <c r="I75" s="4" t="n">
        <v>273.9</v>
      </c>
      <c r="J75" s="4" t="n">
        <v>366</v>
      </c>
      <c r="K75" s="4" t="n">
        <v>360</v>
      </c>
      <c r="L75" s="4" t="n">
        <f aca="false">IF(COUNT(I75:K75)=0,"",SUM(I75:K75))</f>
        <v>999.9</v>
      </c>
    </row>
    <row r="76" customFormat="false" ht="15" hidden="false" customHeight="false" outlineLevel="0" collapsed="false">
      <c r="A76" s="2" t="n">
        <v>75</v>
      </c>
      <c r="B76" s="2" t="s">
        <v>52</v>
      </c>
      <c r="C76" s="2" t="s">
        <v>89</v>
      </c>
      <c r="D76" s="2" t="s">
        <v>14</v>
      </c>
      <c r="E76" s="3" t="n">
        <v>234</v>
      </c>
      <c r="F76" s="4" t="n">
        <v>228.1</v>
      </c>
      <c r="G76" s="4" t="n">
        <v>4.2</v>
      </c>
      <c r="H76" s="4" t="n">
        <v>1</v>
      </c>
      <c r="I76" s="4" t="n">
        <v>19.1</v>
      </c>
      <c r="J76" s="4" t="n">
        <v>10</v>
      </c>
      <c r="K76" s="4" t="n">
        <v>9.8</v>
      </c>
      <c r="L76" s="4" t="n">
        <f aca="false">IF(COUNT(I76:K76)=0,"",SUM(I76:K76))</f>
        <v>38.9</v>
      </c>
    </row>
    <row r="77" customFormat="false" ht="15" hidden="false" customHeight="false" outlineLevel="0" collapsed="false">
      <c r="A77" s="2" t="n">
        <v>76</v>
      </c>
      <c r="B77" s="2" t="s">
        <v>52</v>
      </c>
      <c r="C77" s="2" t="s">
        <v>90</v>
      </c>
      <c r="D77" s="2" t="s">
        <v>14</v>
      </c>
      <c r="E77" s="3" t="n">
        <v>209</v>
      </c>
      <c r="F77" s="4" t="n">
        <v>185.8</v>
      </c>
      <c r="G77" s="4" t="n">
        <v>10.5</v>
      </c>
      <c r="H77" s="4" t="n">
        <v>1</v>
      </c>
      <c r="I77" s="4" t="n">
        <v>47.9</v>
      </c>
      <c r="J77" s="4" t="n">
        <v>40.6</v>
      </c>
      <c r="K77" s="4" t="n">
        <v>39.8</v>
      </c>
      <c r="L77" s="4" t="n">
        <f aca="false">IF(COUNT(I77:K77)=0,"",SUM(I77:K77))</f>
        <v>128.3</v>
      </c>
    </row>
    <row r="78" customFormat="false" ht="15" hidden="false" customHeight="false" outlineLevel="0" collapsed="false">
      <c r="A78" s="2" t="n">
        <v>77</v>
      </c>
      <c r="B78" s="2" t="s">
        <v>91</v>
      </c>
      <c r="C78" s="2" t="s">
        <v>92</v>
      </c>
      <c r="D78" s="2" t="s">
        <v>14</v>
      </c>
      <c r="E78" s="3" t="n">
        <v>7160</v>
      </c>
      <c r="F78" s="4" t="n">
        <v>7074.7</v>
      </c>
      <c r="G78" s="4" t="n">
        <v>286.6</v>
      </c>
      <c r="H78" s="4"/>
      <c r="I78" s="4" t="n">
        <v>1304.4</v>
      </c>
      <c r="J78" s="4" t="n">
        <v>1722</v>
      </c>
      <c r="K78" s="4" t="n">
        <v>1688.9</v>
      </c>
      <c r="L78" s="4" t="n">
        <f aca="false">IF(COUNT(I78:K78)=0,"",SUM(I78:K78))</f>
        <v>4715.3</v>
      </c>
    </row>
    <row r="79" customFormat="false" ht="15" hidden="false" customHeight="false" outlineLevel="0" collapsed="false">
      <c r="A79" s="2" t="n">
        <v>78</v>
      </c>
      <c r="B79" s="2" t="s">
        <v>91</v>
      </c>
      <c r="C79" s="2" t="s">
        <v>93</v>
      </c>
      <c r="D79" s="2" t="s">
        <v>14</v>
      </c>
      <c r="E79" s="3"/>
      <c r="F79" s="4" t="n">
        <v>0</v>
      </c>
      <c r="G79" s="4" t="n">
        <v>0</v>
      </c>
      <c r="H79" s="4"/>
      <c r="I79" s="4" t="n">
        <v>0</v>
      </c>
      <c r="J79" s="4" t="n">
        <v>0</v>
      </c>
      <c r="K79" s="4" t="n">
        <v>0</v>
      </c>
      <c r="L79" s="4" t="n">
        <f aca="false">IF(COUNT(I79:K79)=0,"",SUM(I79:K79))</f>
        <v>0</v>
      </c>
    </row>
    <row r="80" customFormat="false" ht="15" hidden="false" customHeight="false" outlineLevel="0" collapsed="false">
      <c r="A80" s="2" t="n">
        <v>79</v>
      </c>
      <c r="B80" s="2" t="s">
        <v>91</v>
      </c>
      <c r="C80" s="2" t="s">
        <v>94</v>
      </c>
      <c r="D80" s="2" t="s">
        <v>14</v>
      </c>
      <c r="E80" s="3" t="n">
        <v>6630</v>
      </c>
      <c r="F80" s="4" t="n">
        <v>6607.6</v>
      </c>
      <c r="G80" s="4" t="n">
        <v>113.5</v>
      </c>
      <c r="H80" s="4"/>
      <c r="I80" s="4" t="n">
        <v>516.7</v>
      </c>
      <c r="J80" s="4" t="n">
        <v>682.2</v>
      </c>
      <c r="K80" s="4" t="n">
        <v>669.1</v>
      </c>
      <c r="L80" s="4" t="n">
        <f aca="false">IF(COUNT(I80:K80)=0,"",SUM(I80:K80))</f>
        <v>1868</v>
      </c>
    </row>
    <row r="81" customFormat="false" ht="15" hidden="false" customHeight="false" outlineLevel="0" collapsed="false">
      <c r="A81" s="2" t="n">
        <v>80</v>
      </c>
      <c r="B81" s="2" t="s">
        <v>91</v>
      </c>
      <c r="C81" s="2" t="s">
        <v>95</v>
      </c>
      <c r="D81" s="2" t="s">
        <v>14</v>
      </c>
      <c r="E81" s="3"/>
      <c r="F81" s="4" t="n">
        <v>0</v>
      </c>
      <c r="G81" s="4" t="n">
        <v>0</v>
      </c>
      <c r="H81" s="4"/>
      <c r="I81" s="4" t="n">
        <v>0</v>
      </c>
      <c r="J81" s="4" t="n">
        <v>0</v>
      </c>
      <c r="K81" s="4" t="n">
        <v>0</v>
      </c>
      <c r="L81" s="4" t="n">
        <f aca="false">IF(COUNT(I81:K81)=0,"",SUM(I81:K81))</f>
        <v>0</v>
      </c>
    </row>
    <row r="82" customFormat="false" ht="15" hidden="false" customHeight="false" outlineLevel="0" collapsed="false">
      <c r="A82" s="2" t="n">
        <v>81</v>
      </c>
      <c r="B82" s="2" t="s">
        <v>91</v>
      </c>
      <c r="C82" s="2" t="s">
        <v>96</v>
      </c>
      <c r="D82" s="2" t="s">
        <v>14</v>
      </c>
      <c r="E82" s="3" t="n">
        <v>36464</v>
      </c>
      <c r="F82" s="4" t="n">
        <v>72232.1</v>
      </c>
      <c r="G82" s="4" t="n">
        <v>2568.8</v>
      </c>
      <c r="H82" s="4"/>
      <c r="I82" s="4" t="n">
        <v>11343.3</v>
      </c>
      <c r="J82" s="4" t="n">
        <v>8839.1</v>
      </c>
      <c r="K82" s="4" t="n">
        <v>8964.2</v>
      </c>
      <c r="L82" s="4" t="n">
        <f aca="false">IF(COUNT(I82:K82)=0,"",SUM(I82:K82))</f>
        <v>29146.6</v>
      </c>
    </row>
    <row r="83" customFormat="false" ht="15" hidden="false" customHeight="false" outlineLevel="0" collapsed="false">
      <c r="A83" s="5" t="n">
        <v>82</v>
      </c>
      <c r="B83" s="5" t="s">
        <v>91</v>
      </c>
      <c r="C83" s="5" t="s">
        <v>97</v>
      </c>
      <c r="D83" s="5" t="s">
        <v>98</v>
      </c>
      <c r="E83" s="6"/>
      <c r="F83" s="7" t="n">
        <v>72232.1</v>
      </c>
      <c r="G83" s="7" t="n">
        <v>0</v>
      </c>
      <c r="H83" s="7"/>
      <c r="I83" s="7" t="n">
        <v>0</v>
      </c>
      <c r="J83" s="7"/>
      <c r="K83" s="7"/>
      <c r="L83" s="7" t="n">
        <f aca="false">IF(COUNT(I83:K83)=0,"",SUM(I83:K83))</f>
        <v>0</v>
      </c>
    </row>
    <row r="84" customFormat="false" ht="15" hidden="false" customHeight="false" outlineLevel="0" collapsed="false">
      <c r="A84" s="2" t="n">
        <v>83</v>
      </c>
      <c r="B84" s="2" t="s">
        <v>91</v>
      </c>
      <c r="C84" s="2" t="s">
        <v>99</v>
      </c>
      <c r="D84" s="2" t="s">
        <v>14</v>
      </c>
      <c r="E84" s="3"/>
      <c r="F84" s="4" t="n">
        <v>0</v>
      </c>
      <c r="G84" s="4" t="n">
        <v>0</v>
      </c>
      <c r="H84" s="4"/>
      <c r="I84" s="4" t="n">
        <v>0</v>
      </c>
      <c r="J84" s="4" t="n">
        <v>0</v>
      </c>
      <c r="K84" s="4" t="n">
        <v>0</v>
      </c>
      <c r="L84" s="4" t="n">
        <f aca="false">IF(COUNT(I84:K84)=0,"",SUM(I84:K84))</f>
        <v>0</v>
      </c>
    </row>
    <row r="85" customFormat="false" ht="15" hidden="false" customHeight="false" outlineLevel="0" collapsed="false">
      <c r="A85" s="2" t="n">
        <v>84</v>
      </c>
      <c r="B85" s="2" t="s">
        <v>91</v>
      </c>
      <c r="C85" s="2" t="s">
        <v>100</v>
      </c>
      <c r="D85" s="2" t="s">
        <v>14</v>
      </c>
      <c r="E85" s="3" t="n">
        <v>2167</v>
      </c>
      <c r="F85" s="4" t="n">
        <v>7704.1</v>
      </c>
      <c r="G85" s="4" t="n">
        <v>609</v>
      </c>
      <c r="H85" s="4"/>
      <c r="I85" s="4" t="n">
        <v>2689</v>
      </c>
      <c r="J85" s="4" t="n">
        <v>2095.4</v>
      </c>
      <c r="K85" s="4" t="n">
        <v>2125.1</v>
      </c>
      <c r="L85" s="4" t="n">
        <f aca="false">IF(COUNT(I85:K85)=0,"",SUM(I85:K85))</f>
        <v>6909.5</v>
      </c>
    </row>
    <row r="86" customFormat="false" ht="15" hidden="false" customHeight="false" outlineLevel="0" collapsed="false">
      <c r="A86" s="2" t="n">
        <v>85</v>
      </c>
      <c r="B86" s="2" t="s">
        <v>91</v>
      </c>
      <c r="C86" s="2" t="s">
        <v>101</v>
      </c>
      <c r="D86" s="2" t="s">
        <v>14</v>
      </c>
      <c r="E86" s="3"/>
      <c r="F86" s="4" t="n">
        <v>3039</v>
      </c>
      <c r="G86" s="4" t="n">
        <v>0</v>
      </c>
      <c r="H86" s="4"/>
      <c r="I86" s="4" t="n">
        <v>0</v>
      </c>
      <c r="J86" s="4" t="n">
        <v>0</v>
      </c>
      <c r="K86" s="4" t="n">
        <v>0</v>
      </c>
      <c r="L86" s="4" t="n">
        <f aca="false">IF(COUNT(I86:K86)=0,"",SUM(I86:K86))</f>
        <v>0</v>
      </c>
    </row>
    <row r="87" customFormat="false" ht="15" hidden="false" customHeight="false" outlineLevel="0" collapsed="false">
      <c r="A87" s="5" t="n">
        <v>86</v>
      </c>
      <c r="B87" s="5" t="s">
        <v>91</v>
      </c>
      <c r="C87" s="5" t="s">
        <v>102</v>
      </c>
      <c r="D87" s="5" t="s">
        <v>98</v>
      </c>
      <c r="E87" s="6"/>
      <c r="F87" s="7" t="n">
        <v>7704.1</v>
      </c>
      <c r="G87" s="7" t="n">
        <v>0</v>
      </c>
      <c r="H87" s="7"/>
      <c r="I87" s="7" t="n">
        <v>0</v>
      </c>
      <c r="J87" s="7"/>
      <c r="K87" s="7"/>
      <c r="L87" s="7" t="n">
        <f aca="false">IF(COUNT(I87:K87)=0,"",SUM(I87:K87))</f>
        <v>0</v>
      </c>
    </row>
    <row r="88" customFormat="false" ht="15" hidden="false" customHeight="false" outlineLevel="0" collapsed="false">
      <c r="A88" s="2" t="n">
        <v>87</v>
      </c>
      <c r="B88" s="2" t="s">
        <v>91</v>
      </c>
      <c r="C88" s="2" t="s">
        <v>103</v>
      </c>
      <c r="D88" s="2" t="s">
        <v>14</v>
      </c>
      <c r="E88" s="3" t="n">
        <v>12268</v>
      </c>
      <c r="F88" s="4" t="n">
        <v>12273</v>
      </c>
      <c r="G88" s="4" t="n">
        <v>0</v>
      </c>
      <c r="H88" s="4"/>
      <c r="I88" s="4" t="n">
        <v>0</v>
      </c>
      <c r="J88" s="4" t="n">
        <v>0</v>
      </c>
      <c r="K88" s="4" t="n">
        <v>0</v>
      </c>
      <c r="L88" s="4" t="n">
        <f aca="false">IF(COUNT(I88:K88)=0,"",SUM(I88:K88))</f>
        <v>0</v>
      </c>
    </row>
    <row r="89" customFormat="false" ht="15" hidden="false" customHeight="false" outlineLevel="0" collapsed="false">
      <c r="A89" s="2" t="n">
        <v>88</v>
      </c>
      <c r="B89" s="2" t="s">
        <v>91</v>
      </c>
      <c r="C89" s="2" t="s">
        <v>104</v>
      </c>
      <c r="D89" s="2" t="s">
        <v>14</v>
      </c>
      <c r="E89" s="3" t="n">
        <v>4972</v>
      </c>
      <c r="F89" s="4" t="n">
        <v>4652.6</v>
      </c>
      <c r="G89" s="4" t="n">
        <v>495.8</v>
      </c>
      <c r="H89" s="4"/>
      <c r="I89" s="4" t="n">
        <v>2189.2</v>
      </c>
      <c r="J89" s="4" t="n">
        <v>1705.9</v>
      </c>
      <c r="K89" s="4" t="n">
        <v>1730.1</v>
      </c>
      <c r="L89" s="4" t="n">
        <f aca="false">IF(COUNT(I89:K89)=0,"",SUM(I89:K89))</f>
        <v>5625.2</v>
      </c>
    </row>
    <row r="90" customFormat="false" ht="15" hidden="false" customHeight="false" outlineLevel="0" collapsed="false">
      <c r="A90" s="5" t="n">
        <v>89</v>
      </c>
      <c r="B90" s="5" t="s">
        <v>91</v>
      </c>
      <c r="C90" s="5" t="s">
        <v>105</v>
      </c>
      <c r="D90" s="5" t="s">
        <v>98</v>
      </c>
      <c r="E90" s="6"/>
      <c r="F90" s="7" t="n">
        <v>16925.6</v>
      </c>
      <c r="G90" s="7" t="n">
        <v>0</v>
      </c>
      <c r="H90" s="7"/>
      <c r="I90" s="7" t="n">
        <v>0</v>
      </c>
      <c r="J90" s="7"/>
      <c r="K90" s="7"/>
      <c r="L90" s="7" t="n">
        <f aca="false">IF(COUNT(I90:K90)=0,"",SUM(I90:K90))</f>
        <v>0</v>
      </c>
    </row>
    <row r="91" customFormat="false" ht="15" hidden="false" customHeight="false" outlineLevel="0" collapsed="false">
      <c r="A91" s="2" t="n">
        <v>90</v>
      </c>
      <c r="B91" s="2" t="s">
        <v>91</v>
      </c>
      <c r="C91" s="2" t="s">
        <v>106</v>
      </c>
      <c r="D91" s="2" t="s">
        <v>14</v>
      </c>
      <c r="E91" s="3" t="n">
        <v>2701</v>
      </c>
      <c r="F91" s="4" t="n">
        <v>2563.8</v>
      </c>
      <c r="G91" s="4" t="n">
        <v>128.3</v>
      </c>
      <c r="H91" s="4"/>
      <c r="I91" s="4" t="n">
        <v>486</v>
      </c>
      <c r="J91" s="4" t="n">
        <v>261.5</v>
      </c>
      <c r="K91" s="4" t="n">
        <v>115</v>
      </c>
      <c r="L91" s="4" t="n">
        <f aca="false">IF(COUNT(I91:K91)=0,"",SUM(I91:K91))</f>
        <v>862.5</v>
      </c>
    </row>
    <row r="92" customFormat="false" ht="15" hidden="false" customHeight="false" outlineLevel="0" collapsed="false">
      <c r="A92" s="2" t="n">
        <v>91</v>
      </c>
      <c r="B92" s="2" t="s">
        <v>91</v>
      </c>
      <c r="C92" s="2" t="s">
        <v>107</v>
      </c>
      <c r="D92" s="2" t="s">
        <v>14</v>
      </c>
      <c r="E92" s="3" t="n">
        <v>26</v>
      </c>
      <c r="F92" s="4" t="n">
        <v>26</v>
      </c>
      <c r="G92" s="4" t="n">
        <v>0</v>
      </c>
      <c r="H92" s="4"/>
      <c r="I92" s="4" t="n">
        <v>0</v>
      </c>
      <c r="J92" s="4" t="n">
        <v>0</v>
      </c>
      <c r="K92" s="4" t="n">
        <v>0</v>
      </c>
      <c r="L92" s="4" t="n">
        <f aca="false">IF(COUNT(I92:K92)=0,"",SUM(I92:K92))</f>
        <v>0</v>
      </c>
    </row>
    <row r="93" customFormat="false" ht="15" hidden="false" customHeight="false" outlineLevel="0" collapsed="false">
      <c r="A93" s="2" t="n">
        <v>92</v>
      </c>
      <c r="B93" s="2" t="s">
        <v>91</v>
      </c>
      <c r="C93" s="2" t="s">
        <v>108</v>
      </c>
      <c r="D93" s="2" t="s">
        <v>14</v>
      </c>
      <c r="E93" s="3" t="n">
        <v>3999</v>
      </c>
      <c r="F93" s="4" t="n">
        <v>3381.4</v>
      </c>
      <c r="G93" s="4" t="n">
        <v>384.9</v>
      </c>
      <c r="H93" s="4"/>
      <c r="I93" s="4" t="n">
        <v>1458</v>
      </c>
      <c r="J93" s="4" t="n">
        <v>784.5</v>
      </c>
      <c r="K93" s="4" t="n">
        <v>345</v>
      </c>
      <c r="L93" s="4" t="n">
        <f aca="false">IF(COUNT(I93:K93)=0,"",SUM(I93:K93))</f>
        <v>2587.5</v>
      </c>
    </row>
    <row r="94" customFormat="false" ht="15" hidden="false" customHeight="false" outlineLevel="0" collapsed="false">
      <c r="A94" s="2" t="n">
        <v>93</v>
      </c>
      <c r="B94" s="2" t="s">
        <v>91</v>
      </c>
      <c r="C94" s="2" t="s">
        <v>109</v>
      </c>
      <c r="D94" s="2" t="s">
        <v>14</v>
      </c>
      <c r="E94" s="3" t="n">
        <v>148</v>
      </c>
      <c r="F94" s="4" t="n">
        <v>515</v>
      </c>
      <c r="G94" s="4" t="n">
        <v>0</v>
      </c>
      <c r="H94" s="4"/>
      <c r="I94" s="4" t="n">
        <v>0</v>
      </c>
      <c r="J94" s="4" t="n">
        <v>0</v>
      </c>
      <c r="K94" s="4" t="n">
        <v>0</v>
      </c>
      <c r="L94" s="4" t="n">
        <f aca="false">IF(COUNT(I94:K94)=0,"",SUM(I94:K94))</f>
        <v>0</v>
      </c>
    </row>
    <row r="95" customFormat="false" ht="15" hidden="false" customHeight="false" outlineLevel="0" collapsed="false">
      <c r="A95" s="2" t="n">
        <v>94</v>
      </c>
      <c r="B95" s="2" t="s">
        <v>91</v>
      </c>
      <c r="C95" s="2" t="s">
        <v>110</v>
      </c>
      <c r="D95" s="2" t="s">
        <v>14</v>
      </c>
      <c r="E95" s="3" t="n">
        <v>5752</v>
      </c>
      <c r="F95" s="4" t="n">
        <v>8244</v>
      </c>
      <c r="G95" s="4" t="n">
        <v>1368.2</v>
      </c>
      <c r="H95" s="4"/>
      <c r="I95" s="4" t="n">
        <v>6003</v>
      </c>
      <c r="J95" s="4" t="n">
        <v>4451.5</v>
      </c>
      <c r="K95" s="4" t="n">
        <v>4749.5</v>
      </c>
      <c r="L95" s="4" t="n">
        <f aca="false">IF(COUNT(I95:K95)=0,"",SUM(I95:K95))</f>
        <v>15204</v>
      </c>
    </row>
    <row r="96" customFormat="false" ht="15" hidden="false" customHeight="false" outlineLevel="0" collapsed="false">
      <c r="A96" s="5" t="n">
        <v>95</v>
      </c>
      <c r="B96" s="5" t="s">
        <v>91</v>
      </c>
      <c r="C96" s="5" t="s">
        <v>111</v>
      </c>
      <c r="D96" s="5" t="s">
        <v>98</v>
      </c>
      <c r="E96" s="6"/>
      <c r="F96" s="7" t="n">
        <v>8759</v>
      </c>
      <c r="G96" s="7" t="n">
        <v>0</v>
      </c>
      <c r="H96" s="7"/>
      <c r="I96" s="7" t="n">
        <v>0</v>
      </c>
      <c r="J96" s="7"/>
      <c r="K96" s="7"/>
      <c r="L96" s="7" t="n">
        <f aca="false">IF(COUNT(I96:K96)=0,"",SUM(I96:K96))</f>
        <v>0</v>
      </c>
    </row>
    <row r="97" customFormat="false" ht="15" hidden="false" customHeight="false" outlineLevel="0" collapsed="false">
      <c r="A97" s="2" t="n">
        <v>96</v>
      </c>
      <c r="B97" s="2" t="s">
        <v>91</v>
      </c>
      <c r="C97" s="2" t="s">
        <v>112</v>
      </c>
      <c r="D97" s="2" t="s">
        <v>14</v>
      </c>
      <c r="E97" s="3" t="n">
        <v>4551</v>
      </c>
      <c r="F97" s="4" t="n">
        <v>4679</v>
      </c>
      <c r="G97" s="4" t="n">
        <v>0</v>
      </c>
      <c r="H97" s="4"/>
      <c r="I97" s="4" t="n">
        <v>0</v>
      </c>
      <c r="J97" s="4" t="n">
        <v>0</v>
      </c>
      <c r="K97" s="4" t="n">
        <v>0</v>
      </c>
      <c r="L97" s="4" t="n">
        <f aca="false">IF(COUNT(I97:K97)=0,"",SUM(I97:K97))</f>
        <v>0</v>
      </c>
    </row>
    <row r="98" customFormat="false" ht="15" hidden="false" customHeight="false" outlineLevel="0" collapsed="false">
      <c r="A98" s="2" t="n">
        <v>97</v>
      </c>
      <c r="B98" s="2" t="s">
        <v>91</v>
      </c>
      <c r="C98" s="2" t="s">
        <v>113</v>
      </c>
      <c r="D98" s="2" t="s">
        <v>14</v>
      </c>
      <c r="E98" s="3" t="n">
        <v>1958</v>
      </c>
      <c r="F98" s="4" t="n">
        <v>1829.9</v>
      </c>
      <c r="G98" s="4" t="n">
        <v>303.2</v>
      </c>
      <c r="H98" s="4"/>
      <c r="I98" s="4" t="n">
        <v>1405.9</v>
      </c>
      <c r="J98" s="4" t="n">
        <v>1042.6</v>
      </c>
      <c r="K98" s="4" t="n">
        <v>1112.4</v>
      </c>
      <c r="L98" s="4" t="n">
        <f aca="false">IF(COUNT(I98:K98)=0,"",SUM(I98:K98))</f>
        <v>3560.9</v>
      </c>
    </row>
    <row r="99" customFormat="false" ht="15" hidden="false" customHeight="false" outlineLevel="0" collapsed="false">
      <c r="A99" s="2" t="n">
        <v>98</v>
      </c>
      <c r="B99" s="2" t="s">
        <v>91</v>
      </c>
      <c r="C99" s="2" t="s">
        <v>114</v>
      </c>
      <c r="D99" s="2" t="s">
        <v>14</v>
      </c>
      <c r="E99" s="3"/>
      <c r="F99" s="4" t="n">
        <v>1978</v>
      </c>
      <c r="G99" s="4" t="n">
        <v>0</v>
      </c>
      <c r="H99" s="4"/>
      <c r="I99" s="4" t="n">
        <v>0</v>
      </c>
      <c r="J99" s="4" t="n">
        <v>0</v>
      </c>
      <c r="K99" s="4" t="n">
        <v>0</v>
      </c>
      <c r="L99" s="4" t="n">
        <f aca="false">IF(COUNT(I99:K99)=0,"",SUM(I99:K99))</f>
        <v>0</v>
      </c>
    </row>
    <row r="100" customFormat="false" ht="15" hidden="false" customHeight="false" outlineLevel="0" collapsed="false">
      <c r="A100" s="5" t="n">
        <v>99</v>
      </c>
      <c r="B100" s="5" t="s">
        <v>91</v>
      </c>
      <c r="C100" s="5" t="s">
        <v>115</v>
      </c>
      <c r="D100" s="5" t="s">
        <v>98</v>
      </c>
      <c r="E100" s="6"/>
      <c r="F100" s="7" t="n">
        <v>6508.9</v>
      </c>
      <c r="G100" s="7" t="n">
        <v>0</v>
      </c>
      <c r="H100" s="7"/>
      <c r="I100" s="7" t="n">
        <v>0</v>
      </c>
      <c r="J100" s="7"/>
      <c r="K100" s="7"/>
      <c r="L100" s="7" t="n">
        <f aca="false">IF(COUNT(I100:K100)=0,"",SUM(I100:K100))</f>
        <v>0</v>
      </c>
    </row>
    <row r="101" customFormat="false" ht="15" hidden="false" customHeight="false" outlineLevel="0" collapsed="false">
      <c r="A101" s="2" t="n">
        <v>100</v>
      </c>
      <c r="B101" s="2" t="s">
        <v>91</v>
      </c>
      <c r="C101" s="2" t="s">
        <v>116</v>
      </c>
      <c r="D101" s="2" t="s">
        <v>14</v>
      </c>
      <c r="E101" s="3" t="n">
        <v>294</v>
      </c>
      <c r="F101" s="4" t="n">
        <v>294</v>
      </c>
      <c r="G101" s="4" t="n">
        <v>0</v>
      </c>
      <c r="H101" s="4"/>
      <c r="I101" s="4" t="n">
        <v>0</v>
      </c>
      <c r="J101" s="4" t="n">
        <v>0</v>
      </c>
      <c r="K101" s="4" t="n">
        <v>0</v>
      </c>
      <c r="L101" s="4" t="n">
        <f aca="false">IF(COUNT(I101:K101)=0,"",SUM(I101:K101))</f>
        <v>0</v>
      </c>
    </row>
    <row r="102" customFormat="false" ht="15" hidden="false" customHeight="false" outlineLevel="0" collapsed="false">
      <c r="A102" s="2" t="n">
        <v>101</v>
      </c>
      <c r="B102" s="2" t="s">
        <v>91</v>
      </c>
      <c r="C102" s="2" t="s">
        <v>117</v>
      </c>
      <c r="D102" s="2" t="s">
        <v>14</v>
      </c>
      <c r="E102" s="3" t="n">
        <v>2916</v>
      </c>
      <c r="F102" s="4" t="n">
        <v>5400.2</v>
      </c>
      <c r="G102" s="4" t="n">
        <v>466.7</v>
      </c>
      <c r="H102" s="4"/>
      <c r="I102" s="4" t="n">
        <v>2164.4</v>
      </c>
      <c r="J102" s="4" t="n">
        <v>1605</v>
      </c>
      <c r="K102" s="4" t="n">
        <v>1712.5</v>
      </c>
      <c r="L102" s="4" t="n">
        <f aca="false">IF(COUNT(I102:K102)=0,"",SUM(I102:K102))</f>
        <v>5481.9</v>
      </c>
    </row>
    <row r="103" customFormat="false" ht="15" hidden="false" customHeight="false" outlineLevel="0" collapsed="false">
      <c r="A103" s="5" t="n">
        <v>102</v>
      </c>
      <c r="B103" s="5" t="s">
        <v>91</v>
      </c>
      <c r="C103" s="5" t="s">
        <v>118</v>
      </c>
      <c r="D103" s="5" t="s">
        <v>98</v>
      </c>
      <c r="E103" s="6"/>
      <c r="F103" s="7" t="n">
        <v>5694.2</v>
      </c>
      <c r="G103" s="7" t="n">
        <v>0</v>
      </c>
      <c r="H103" s="7"/>
      <c r="I103" s="7" t="n">
        <v>0</v>
      </c>
      <c r="J103" s="7"/>
      <c r="K103" s="7"/>
      <c r="L103" s="7" t="n">
        <f aca="false">IF(COUNT(I103:K103)=0,"",SUM(I103:K103))</f>
        <v>0</v>
      </c>
    </row>
    <row r="104" customFormat="false" ht="15" hidden="false" customHeight="false" outlineLevel="0" collapsed="false">
      <c r="A104" s="2" t="n">
        <v>103</v>
      </c>
      <c r="B104" s="2" t="s">
        <v>119</v>
      </c>
      <c r="C104" s="2" t="s">
        <v>120</v>
      </c>
      <c r="D104" s="2" t="s">
        <v>14</v>
      </c>
      <c r="E104" s="3"/>
      <c r="F104" s="4" t="n">
        <v>0</v>
      </c>
      <c r="G104" s="4" t="n">
        <v>0</v>
      </c>
      <c r="H104" s="4"/>
      <c r="I104" s="4" t="n">
        <v>0</v>
      </c>
      <c r="J104" s="4" t="n">
        <v>0</v>
      </c>
      <c r="K104" s="4" t="n">
        <v>0</v>
      </c>
      <c r="L104" s="4" t="n">
        <f aca="false">IF(COUNT(I104:K104)=0,"",SUM(I104:K104))</f>
        <v>0</v>
      </c>
    </row>
    <row r="105" customFormat="false" ht="15" hidden="false" customHeight="false" outlineLevel="0" collapsed="false">
      <c r="A105" s="2" t="n">
        <v>104</v>
      </c>
      <c r="B105" s="2" t="s">
        <v>119</v>
      </c>
      <c r="C105" s="2" t="s">
        <v>121</v>
      </c>
      <c r="D105" s="2" t="s">
        <v>14</v>
      </c>
      <c r="E105" s="3"/>
      <c r="F105" s="4" t="n">
        <v>0</v>
      </c>
      <c r="G105" s="4" t="n">
        <v>0</v>
      </c>
      <c r="H105" s="4"/>
      <c r="I105" s="4" t="n">
        <v>0</v>
      </c>
      <c r="J105" s="4" t="n">
        <v>0</v>
      </c>
      <c r="K105" s="4" t="n">
        <v>0</v>
      </c>
      <c r="L105" s="4" t="n">
        <f aca="false">IF(COUNT(I105:K105)=0,"",SUM(I105:K105))</f>
        <v>0</v>
      </c>
    </row>
    <row r="106" customFormat="false" ht="15" hidden="false" customHeight="false" outlineLevel="0" collapsed="false">
      <c r="A106" s="2" t="n">
        <v>105</v>
      </c>
      <c r="B106" s="2" t="s">
        <v>119</v>
      </c>
      <c r="C106" s="2" t="s">
        <v>122</v>
      </c>
      <c r="D106" s="2" t="s">
        <v>14</v>
      </c>
      <c r="E106" s="3" t="n">
        <v>629</v>
      </c>
      <c r="F106" s="4" t="n">
        <v>626.5</v>
      </c>
      <c r="G106" s="4" t="n">
        <v>10.8</v>
      </c>
      <c r="H106" s="4"/>
      <c r="I106" s="4" t="n">
        <v>47.7</v>
      </c>
      <c r="J106" s="4" t="n">
        <v>40.5</v>
      </c>
      <c r="K106" s="4" t="n">
        <v>39.7</v>
      </c>
      <c r="L106" s="4" t="n">
        <f aca="false">IF(COUNT(I106:K106)=0,"",SUM(I106:K106))</f>
        <v>127.9</v>
      </c>
    </row>
    <row r="107" customFormat="false" ht="15" hidden="false" customHeight="false" outlineLevel="0" collapsed="false">
      <c r="A107" s="2" t="n">
        <v>106</v>
      </c>
      <c r="B107" s="2" t="s">
        <v>119</v>
      </c>
      <c r="C107" s="2" t="s">
        <v>123</v>
      </c>
      <c r="D107" s="2" t="s">
        <v>14</v>
      </c>
      <c r="E107" s="3" t="n">
        <v>124</v>
      </c>
      <c r="F107" s="4" t="n">
        <v>119.5</v>
      </c>
      <c r="G107" s="4" t="n">
        <v>3.3</v>
      </c>
      <c r="H107" s="4"/>
      <c r="I107" s="4" t="n">
        <v>14.5</v>
      </c>
      <c r="J107" s="4" t="n">
        <v>12.3</v>
      </c>
      <c r="K107" s="4" t="n">
        <v>12.1</v>
      </c>
      <c r="L107" s="4" t="n">
        <f aca="false">IF(COUNT(I107:K107)=0,"",SUM(I107:K107))</f>
        <v>38.9</v>
      </c>
    </row>
    <row r="108" customFormat="false" ht="15" hidden="false" customHeight="false" outlineLevel="0" collapsed="false">
      <c r="A108" s="2" t="n">
        <v>107</v>
      </c>
      <c r="B108" s="2" t="s">
        <v>119</v>
      </c>
      <c r="C108" s="2" t="s">
        <v>124</v>
      </c>
      <c r="D108" s="2" t="s">
        <v>14</v>
      </c>
      <c r="E108" s="3"/>
      <c r="F108" s="4" t="n">
        <v>0</v>
      </c>
      <c r="G108" s="4" t="n">
        <v>0</v>
      </c>
      <c r="H108" s="4"/>
      <c r="I108" s="4" t="n">
        <v>0</v>
      </c>
      <c r="J108" s="4" t="n">
        <v>0</v>
      </c>
      <c r="K108" s="4" t="n">
        <v>0</v>
      </c>
      <c r="L108" s="4" t="n">
        <f aca="false">IF(COUNT(I108:K108)=0,"",SUM(I108:K108))</f>
        <v>0</v>
      </c>
    </row>
    <row r="109" customFormat="false" ht="15" hidden="false" customHeight="false" outlineLevel="0" collapsed="false">
      <c r="A109" s="2" t="n">
        <v>108</v>
      </c>
      <c r="B109" s="2" t="s">
        <v>119</v>
      </c>
      <c r="C109" s="2" t="s">
        <v>125</v>
      </c>
      <c r="D109" s="2" t="s">
        <v>14</v>
      </c>
      <c r="E109" s="3" t="n">
        <v>555</v>
      </c>
      <c r="F109" s="4" t="n">
        <v>564.9</v>
      </c>
      <c r="G109" s="4" t="n">
        <v>21.5</v>
      </c>
      <c r="H109" s="4"/>
      <c r="I109" s="4" t="n">
        <v>95.4</v>
      </c>
      <c r="J109" s="4" t="n">
        <v>80.9</v>
      </c>
      <c r="K109" s="4" t="n">
        <v>79.3</v>
      </c>
      <c r="L109" s="4" t="n">
        <f aca="false">IF(COUNT(I109:K109)=0,"",SUM(I109:K109))</f>
        <v>255.6</v>
      </c>
    </row>
    <row r="110" customFormat="false" ht="15" hidden="false" customHeight="false" outlineLevel="0" collapsed="false">
      <c r="A110" s="2" t="n">
        <v>109</v>
      </c>
      <c r="B110" s="2" t="s">
        <v>119</v>
      </c>
      <c r="C110" s="2" t="s">
        <v>126</v>
      </c>
      <c r="D110" s="2" t="s">
        <v>14</v>
      </c>
      <c r="E110" s="3" t="n">
        <v>104</v>
      </c>
      <c r="F110" s="4" t="n">
        <v>81.6</v>
      </c>
      <c r="G110" s="4" t="n">
        <v>16.8</v>
      </c>
      <c r="H110" s="4"/>
      <c r="I110" s="4" t="n">
        <v>74.6</v>
      </c>
      <c r="J110" s="4" t="n">
        <v>63.3</v>
      </c>
      <c r="K110" s="4" t="n">
        <v>0</v>
      </c>
      <c r="L110" s="4" t="n">
        <f aca="false">IF(COUNT(I110:K110)=0,"",SUM(I110:K110))</f>
        <v>137.9</v>
      </c>
    </row>
    <row r="111" customFormat="false" ht="15" hidden="false" customHeight="false" outlineLevel="0" collapsed="false">
      <c r="A111" s="2" t="n">
        <v>110</v>
      </c>
      <c r="B111" s="2" t="s">
        <v>119</v>
      </c>
      <c r="C111" s="2" t="s">
        <v>127</v>
      </c>
      <c r="D111" s="2" t="s">
        <v>14</v>
      </c>
      <c r="E111" s="3" t="n">
        <v>85</v>
      </c>
      <c r="F111" s="4" t="n">
        <v>84.3</v>
      </c>
      <c r="G111" s="4" t="n">
        <v>1.2</v>
      </c>
      <c r="H111" s="4"/>
      <c r="I111" s="4" t="n">
        <v>5.2</v>
      </c>
      <c r="J111" s="4" t="n">
        <v>4.4</v>
      </c>
      <c r="K111" s="4" t="n">
        <v>4.3</v>
      </c>
      <c r="L111" s="4" t="n">
        <f aca="false">IF(COUNT(I111:K111)=0,"",SUM(I111:K111))</f>
        <v>13.9</v>
      </c>
    </row>
    <row r="112" customFormat="false" ht="15" hidden="false" customHeight="false" outlineLevel="0" collapsed="false">
      <c r="A112" s="2" t="n">
        <v>111</v>
      </c>
      <c r="B112" s="2" t="s">
        <v>119</v>
      </c>
      <c r="C112" s="2" t="s">
        <v>128</v>
      </c>
      <c r="D112" s="2" t="s">
        <v>14</v>
      </c>
      <c r="E112" s="3"/>
      <c r="F112" s="4" t="n">
        <v>0</v>
      </c>
      <c r="G112" s="4" t="n">
        <v>0</v>
      </c>
      <c r="H112" s="4"/>
      <c r="I112" s="4" t="n">
        <v>0</v>
      </c>
      <c r="J112" s="4" t="n">
        <v>0</v>
      </c>
      <c r="K112" s="4" t="n">
        <v>0</v>
      </c>
      <c r="L112" s="4" t="n">
        <f aca="false">IF(COUNT(I112:K112)=0,"",SUM(I112:K112))</f>
        <v>0</v>
      </c>
    </row>
    <row r="113" customFormat="false" ht="15" hidden="false" customHeight="false" outlineLevel="0" collapsed="false">
      <c r="A113" s="2" t="n">
        <v>112</v>
      </c>
      <c r="B113" s="2" t="s">
        <v>119</v>
      </c>
      <c r="C113" s="2" t="s">
        <v>129</v>
      </c>
      <c r="D113" s="2" t="s">
        <v>14</v>
      </c>
      <c r="E113" s="3" t="n">
        <v>1649</v>
      </c>
      <c r="F113" s="4" t="n">
        <v>-62.7</v>
      </c>
      <c r="G113" s="4" t="n">
        <v>1389.2</v>
      </c>
      <c r="H113" s="4"/>
      <c r="I113" s="4" t="n">
        <v>6063</v>
      </c>
      <c r="J113" s="4" t="n">
        <v>5444</v>
      </c>
      <c r="K113" s="4" t="n">
        <v>5335.1</v>
      </c>
      <c r="L113" s="4" t="n">
        <f aca="false">IF(COUNT(I113:K113)=0,"",SUM(I113:K113))</f>
        <v>16842.1</v>
      </c>
    </row>
    <row r="114" customFormat="false" ht="15" hidden="false" customHeight="false" outlineLevel="0" collapsed="false">
      <c r="A114" s="2" t="n">
        <v>113</v>
      </c>
      <c r="B114" s="2" t="s">
        <v>119</v>
      </c>
      <c r="C114" s="2" t="s">
        <v>130</v>
      </c>
      <c r="D114" s="2" t="s">
        <v>14</v>
      </c>
      <c r="E114" s="3" t="n">
        <v>4422</v>
      </c>
      <c r="F114" s="4" t="n">
        <v>4250.4</v>
      </c>
      <c r="G114" s="4" t="n">
        <v>327.2</v>
      </c>
      <c r="H114" s="4"/>
      <c r="I114" s="4" t="n">
        <v>1277.4</v>
      </c>
      <c r="J114" s="4" t="n">
        <v>1006.1</v>
      </c>
      <c r="K114" s="4" t="n">
        <v>986</v>
      </c>
      <c r="L114" s="4" t="n">
        <f aca="false">IF(COUNT(I114:K114)=0,"",SUM(I114:K114))</f>
        <v>3269.5</v>
      </c>
    </row>
    <row r="115" customFormat="false" ht="15" hidden="false" customHeight="false" outlineLevel="0" collapsed="false">
      <c r="A115" s="2" t="n">
        <v>114</v>
      </c>
      <c r="B115" s="2" t="s">
        <v>119</v>
      </c>
      <c r="C115" s="2" t="s">
        <v>131</v>
      </c>
      <c r="D115" s="2" t="s">
        <v>14</v>
      </c>
      <c r="E115" s="3"/>
      <c r="F115" s="4" t="n">
        <v>0</v>
      </c>
      <c r="G115" s="4" t="n">
        <v>0</v>
      </c>
      <c r="H115" s="4"/>
      <c r="I115" s="4" t="n">
        <v>0</v>
      </c>
      <c r="J115" s="4" t="n">
        <v>0</v>
      </c>
      <c r="K115" s="4" t="n">
        <v>0</v>
      </c>
      <c r="L115" s="4" t="n">
        <f aca="false">IF(COUNT(I115:K115)=0,"",SUM(I115:K115))</f>
        <v>0</v>
      </c>
    </row>
    <row r="116" customFormat="false" ht="15" hidden="false" customHeight="false" outlineLevel="0" collapsed="false">
      <c r="A116" s="2" t="n">
        <v>115</v>
      </c>
      <c r="B116" s="2" t="s">
        <v>119</v>
      </c>
      <c r="C116" s="2" t="s">
        <v>132</v>
      </c>
      <c r="D116" s="2" t="s">
        <v>14</v>
      </c>
      <c r="E116" s="3" t="n">
        <v>486</v>
      </c>
      <c r="F116" s="4" t="n">
        <v>1186</v>
      </c>
      <c r="G116" s="4" t="n">
        <v>0</v>
      </c>
      <c r="H116" s="4"/>
      <c r="I116" s="4" t="n">
        <v>0</v>
      </c>
      <c r="J116" s="4" t="n">
        <v>0</v>
      </c>
      <c r="K116" s="4" t="n">
        <v>0</v>
      </c>
      <c r="L116" s="4" t="n">
        <f aca="false">IF(COUNT(I116:K116)=0,"",SUM(I116:K116))</f>
        <v>0</v>
      </c>
    </row>
    <row r="117" customFormat="false" ht="15" hidden="false" customHeight="false" outlineLevel="0" collapsed="false">
      <c r="A117" s="2" t="n">
        <v>116</v>
      </c>
      <c r="B117" s="2" t="s">
        <v>119</v>
      </c>
      <c r="C117" s="2" t="s">
        <v>133</v>
      </c>
      <c r="D117" s="2" t="s">
        <v>14</v>
      </c>
      <c r="E117" s="3" t="n">
        <v>21</v>
      </c>
      <c r="F117" s="4" t="n">
        <v>21</v>
      </c>
      <c r="G117" s="4" t="n">
        <v>0</v>
      </c>
      <c r="H117" s="4"/>
      <c r="I117" s="4" t="n">
        <v>0</v>
      </c>
      <c r="J117" s="4" t="n">
        <v>0</v>
      </c>
      <c r="K117" s="4" t="n">
        <v>0</v>
      </c>
      <c r="L117" s="4" t="n">
        <f aca="false">IF(COUNT(I117:K117)=0,"",SUM(I117:K117))</f>
        <v>0</v>
      </c>
    </row>
    <row r="118" customFormat="false" ht="15" hidden="false" customHeight="false" outlineLevel="0" collapsed="false">
      <c r="A118" s="2" t="n">
        <v>117</v>
      </c>
      <c r="B118" s="2" t="s">
        <v>119</v>
      </c>
      <c r="C118" s="2" t="s">
        <v>134</v>
      </c>
      <c r="D118" s="2" t="s">
        <v>14</v>
      </c>
      <c r="E118" s="3"/>
      <c r="F118" s="4" t="n">
        <v>0</v>
      </c>
      <c r="G118" s="4" t="n">
        <v>0</v>
      </c>
      <c r="H118" s="4"/>
      <c r="I118" s="4" t="n">
        <v>0</v>
      </c>
      <c r="J118" s="4" t="n">
        <v>0</v>
      </c>
      <c r="K118" s="4" t="n">
        <v>0</v>
      </c>
      <c r="L118" s="4" t="n">
        <f aca="false">IF(COUNT(I118:K118)=0,"",SUM(I118:K118))</f>
        <v>0</v>
      </c>
    </row>
    <row r="119" customFormat="false" ht="15" hidden="false" customHeight="false" outlineLevel="0" collapsed="false">
      <c r="A119" s="2" t="n">
        <v>118</v>
      </c>
      <c r="B119" s="2" t="s">
        <v>119</v>
      </c>
      <c r="C119" s="2" t="s">
        <v>135</v>
      </c>
      <c r="D119" s="2" t="s">
        <v>14</v>
      </c>
      <c r="E119" s="3"/>
      <c r="F119" s="4" t="n">
        <v>0</v>
      </c>
      <c r="G119" s="4" t="n">
        <v>0</v>
      </c>
      <c r="H119" s="4"/>
      <c r="I119" s="4" t="n">
        <v>0</v>
      </c>
      <c r="J119" s="4" t="n">
        <v>0</v>
      </c>
      <c r="K119" s="4" t="n">
        <v>0</v>
      </c>
      <c r="L119" s="4" t="n">
        <f aca="false">IF(COUNT(I119:K119)=0,"",SUM(I119:K119))</f>
        <v>0</v>
      </c>
    </row>
    <row r="120" customFormat="false" ht="15" hidden="false" customHeight="false" outlineLevel="0" collapsed="false">
      <c r="A120" s="2" t="n">
        <v>119</v>
      </c>
      <c r="B120" s="2" t="s">
        <v>119</v>
      </c>
      <c r="C120" s="2" t="s">
        <v>136</v>
      </c>
      <c r="D120" s="2" t="s">
        <v>14</v>
      </c>
      <c r="E120" s="3" t="n">
        <v>14819</v>
      </c>
      <c r="F120" s="4" t="n">
        <v>14525.6</v>
      </c>
      <c r="G120" s="4" t="n">
        <v>1237.2</v>
      </c>
      <c r="H120" s="4"/>
      <c r="I120" s="4" t="n">
        <v>5437</v>
      </c>
      <c r="J120" s="4" t="n">
        <v>4713</v>
      </c>
      <c r="K120" s="4" t="n">
        <v>4618.7</v>
      </c>
      <c r="L120" s="4" t="n">
        <f aca="false">IF(COUNT(I120:K120)=0,"",SUM(I120:K120))</f>
        <v>14768.7</v>
      </c>
    </row>
    <row r="121" customFormat="false" ht="15" hidden="false" customHeight="false" outlineLevel="0" collapsed="false">
      <c r="A121" s="2" t="n">
        <v>120</v>
      </c>
      <c r="B121" s="2" t="s">
        <v>119</v>
      </c>
      <c r="C121" s="2" t="s">
        <v>137</v>
      </c>
      <c r="D121" s="2" t="s">
        <v>14</v>
      </c>
      <c r="E121" s="3" t="n">
        <v>1556</v>
      </c>
      <c r="F121" s="4" t="n">
        <v>1998.1</v>
      </c>
      <c r="G121" s="4" t="n">
        <v>126.6</v>
      </c>
      <c r="H121" s="4"/>
      <c r="I121" s="4" t="n">
        <v>550.3</v>
      </c>
      <c r="J121" s="4" t="n">
        <v>433.4</v>
      </c>
      <c r="K121" s="4" t="n">
        <v>424.8</v>
      </c>
      <c r="L121" s="4" t="n">
        <f aca="false">IF(COUNT(I121:K121)=0,"",SUM(I121:K121))</f>
        <v>1408.5</v>
      </c>
    </row>
    <row r="122" customFormat="false" ht="15" hidden="false" customHeight="false" outlineLevel="0" collapsed="false">
      <c r="A122" s="2" t="n">
        <v>121</v>
      </c>
      <c r="B122" s="2" t="s">
        <v>119</v>
      </c>
      <c r="C122" s="2" t="s">
        <v>138</v>
      </c>
      <c r="D122" s="2" t="s">
        <v>14</v>
      </c>
      <c r="E122" s="3" t="n">
        <v>3</v>
      </c>
      <c r="F122" s="4" t="n">
        <v>-0.7</v>
      </c>
      <c r="G122" s="4" t="n">
        <v>0.5</v>
      </c>
      <c r="H122" s="4"/>
      <c r="I122" s="4" t="n">
        <v>0</v>
      </c>
      <c r="J122" s="4" t="n">
        <v>0</v>
      </c>
      <c r="K122" s="4" t="n">
        <v>0</v>
      </c>
      <c r="L122" s="4" t="n">
        <f aca="false">IF(COUNT(I122:K122)=0,"",SUM(I122:K122))</f>
        <v>0</v>
      </c>
    </row>
    <row r="123" customFormat="false" ht="15" hidden="false" customHeight="false" outlineLevel="0" collapsed="false">
      <c r="A123" s="2" t="n">
        <v>122</v>
      </c>
      <c r="B123" s="2" t="s">
        <v>119</v>
      </c>
      <c r="C123" s="2" t="s">
        <v>139</v>
      </c>
      <c r="D123" s="2" t="s">
        <v>14</v>
      </c>
      <c r="E123" s="3"/>
      <c r="F123" s="4" t="n">
        <v>38</v>
      </c>
      <c r="G123" s="4" t="n">
        <v>0</v>
      </c>
      <c r="H123" s="4"/>
      <c r="I123" s="4" t="n">
        <v>0</v>
      </c>
      <c r="J123" s="4" t="n">
        <v>0</v>
      </c>
      <c r="K123" s="4" t="n">
        <v>0</v>
      </c>
      <c r="L123" s="4" t="n">
        <f aca="false">IF(COUNT(I123:K123)=0,"",SUM(I123:K123))</f>
        <v>0</v>
      </c>
    </row>
    <row r="124" customFormat="false" ht="15" hidden="false" customHeight="false" outlineLevel="0" collapsed="false">
      <c r="A124" s="2" t="n">
        <v>123</v>
      </c>
      <c r="B124" s="2" t="s">
        <v>119</v>
      </c>
      <c r="C124" s="2" t="s">
        <v>140</v>
      </c>
      <c r="D124" s="2" t="s">
        <v>14</v>
      </c>
      <c r="E124" s="3"/>
      <c r="F124" s="4" t="n">
        <v>0</v>
      </c>
      <c r="G124" s="4" t="n">
        <v>0</v>
      </c>
      <c r="H124" s="4"/>
      <c r="I124" s="4" t="n">
        <v>0</v>
      </c>
      <c r="J124" s="4" t="n">
        <v>0</v>
      </c>
      <c r="K124" s="4" t="n">
        <v>0</v>
      </c>
      <c r="L124" s="4" t="n">
        <f aca="false">IF(COUNT(I124:K124)=0,"",SUM(I124:K124))</f>
        <v>0</v>
      </c>
    </row>
    <row r="125" customFormat="false" ht="15" hidden="false" customHeight="false" outlineLevel="0" collapsed="false">
      <c r="A125" s="2" t="n">
        <v>124</v>
      </c>
      <c r="B125" s="2" t="s">
        <v>119</v>
      </c>
      <c r="C125" s="2" t="s">
        <v>141</v>
      </c>
      <c r="D125" s="2" t="s">
        <v>14</v>
      </c>
      <c r="E125" s="3"/>
      <c r="F125" s="4" t="n">
        <v>0</v>
      </c>
      <c r="G125" s="4" t="n">
        <v>0</v>
      </c>
      <c r="H125" s="4"/>
      <c r="I125" s="4" t="n">
        <v>0</v>
      </c>
      <c r="J125" s="4" t="n">
        <v>0</v>
      </c>
      <c r="K125" s="4" t="n">
        <v>0</v>
      </c>
      <c r="L125" s="4" t="n">
        <f aca="false">IF(COUNT(I125:K125)=0,"",SUM(I125:K125))</f>
        <v>0</v>
      </c>
    </row>
    <row r="126" customFormat="false" ht="15" hidden="false" customHeight="false" outlineLevel="0" collapsed="false">
      <c r="A126" s="2" t="n">
        <v>125</v>
      </c>
      <c r="B126" s="2" t="s">
        <v>119</v>
      </c>
      <c r="C126" s="2" t="s">
        <v>142</v>
      </c>
      <c r="D126" s="2" t="s">
        <v>14</v>
      </c>
      <c r="E126" s="3"/>
      <c r="F126" s="4" t="n">
        <v>0</v>
      </c>
      <c r="G126" s="4" t="n">
        <v>0</v>
      </c>
      <c r="H126" s="4"/>
      <c r="I126" s="4" t="n">
        <v>0</v>
      </c>
      <c r="J126" s="4" t="n">
        <v>0</v>
      </c>
      <c r="K126" s="4" t="n">
        <v>0</v>
      </c>
      <c r="L126" s="4" t="n">
        <f aca="false">IF(COUNT(I126:K126)=0,"",SUM(I126:K126))</f>
        <v>0</v>
      </c>
    </row>
    <row r="127" customFormat="false" ht="15" hidden="false" customHeight="false" outlineLevel="0" collapsed="false">
      <c r="A127" s="2" t="n">
        <v>126</v>
      </c>
      <c r="B127" s="2" t="s">
        <v>119</v>
      </c>
      <c r="C127" s="2" t="s">
        <v>143</v>
      </c>
      <c r="D127" s="2" t="s">
        <v>14</v>
      </c>
      <c r="E127" s="3" t="n">
        <v>13373</v>
      </c>
      <c r="F127" s="4" t="n">
        <v>13905</v>
      </c>
      <c r="G127" s="4" t="n">
        <v>0</v>
      </c>
      <c r="H127" s="4"/>
      <c r="I127" s="4" t="n">
        <v>0</v>
      </c>
      <c r="J127" s="4" t="n">
        <v>0</v>
      </c>
      <c r="K127" s="4" t="n">
        <v>0</v>
      </c>
      <c r="L127" s="4" t="n">
        <f aca="false">IF(COUNT(I127:K127)=0,"",SUM(I127:K127))</f>
        <v>0</v>
      </c>
    </row>
    <row r="128" customFormat="false" ht="15" hidden="false" customHeight="false" outlineLevel="0" collapsed="false">
      <c r="A128" s="2" t="n">
        <v>127</v>
      </c>
      <c r="B128" s="2" t="s">
        <v>119</v>
      </c>
      <c r="C128" s="2" t="s">
        <v>144</v>
      </c>
      <c r="D128" s="2" t="s">
        <v>14</v>
      </c>
      <c r="E128" s="3" t="n">
        <v>2886</v>
      </c>
      <c r="F128" s="4" t="n">
        <v>2739.7</v>
      </c>
      <c r="G128" s="4" t="n">
        <v>281.7</v>
      </c>
      <c r="H128" s="4"/>
      <c r="I128" s="4" t="n">
        <v>1254</v>
      </c>
      <c r="J128" s="4" t="n">
        <v>1264</v>
      </c>
      <c r="K128" s="4" t="n">
        <v>1238.7</v>
      </c>
      <c r="L128" s="4" t="n">
        <f aca="false">IF(COUNT(I128:K128)=0,"",SUM(I128:K128))</f>
        <v>3756.7</v>
      </c>
    </row>
    <row r="129" customFormat="false" ht="15" hidden="false" customHeight="false" outlineLevel="0" collapsed="false">
      <c r="A129" s="2" t="n">
        <v>128</v>
      </c>
      <c r="B129" s="2" t="s">
        <v>119</v>
      </c>
      <c r="C129" s="2" t="s">
        <v>145</v>
      </c>
      <c r="D129" s="2" t="s">
        <v>14</v>
      </c>
      <c r="E129" s="3" t="n">
        <v>130</v>
      </c>
      <c r="F129" s="4" t="n">
        <v>125</v>
      </c>
      <c r="G129" s="4" t="n">
        <v>14</v>
      </c>
      <c r="H129" s="4"/>
      <c r="I129" s="4" t="n">
        <v>62.2</v>
      </c>
      <c r="J129" s="4" t="n">
        <v>52.8</v>
      </c>
      <c r="K129" s="4" t="n">
        <v>51.7</v>
      </c>
      <c r="L129" s="4" t="n">
        <f aca="false">IF(COUNT(I129:K129)=0,"",SUM(I129:K129))</f>
        <v>166.7</v>
      </c>
    </row>
    <row r="130" customFormat="false" ht="15" hidden="false" customHeight="false" outlineLevel="0" collapsed="false">
      <c r="A130" s="2" t="n">
        <v>129</v>
      </c>
      <c r="B130" s="2" t="s">
        <v>119</v>
      </c>
      <c r="C130" s="2" t="s">
        <v>146</v>
      </c>
      <c r="D130" s="2" t="s">
        <v>14</v>
      </c>
      <c r="E130" s="3"/>
      <c r="F130" s="4" t="n">
        <v>0</v>
      </c>
      <c r="G130" s="4" t="n">
        <v>0</v>
      </c>
      <c r="H130" s="4"/>
      <c r="I130" s="4" t="n">
        <v>0</v>
      </c>
      <c r="J130" s="4" t="n">
        <v>0</v>
      </c>
      <c r="K130" s="4" t="n">
        <v>0</v>
      </c>
      <c r="L130" s="4" t="n">
        <f aca="false">IF(COUNT(I130:K130)=0,"",SUM(I130:K130))</f>
        <v>0</v>
      </c>
    </row>
    <row r="131" customFormat="false" ht="15" hidden="false" customHeight="false" outlineLevel="0" collapsed="false">
      <c r="A131" s="2" t="n">
        <v>130</v>
      </c>
      <c r="B131" s="2" t="s">
        <v>119</v>
      </c>
      <c r="C131" s="2" t="s">
        <v>147</v>
      </c>
      <c r="D131" s="2" t="s">
        <v>14</v>
      </c>
      <c r="E131" s="3"/>
      <c r="F131" s="4" t="n">
        <v>0</v>
      </c>
      <c r="G131" s="4" t="n">
        <v>0</v>
      </c>
      <c r="H131" s="4"/>
      <c r="I131" s="4" t="n">
        <v>0</v>
      </c>
      <c r="J131" s="4" t="n">
        <v>0</v>
      </c>
      <c r="K131" s="4" t="n">
        <v>0</v>
      </c>
      <c r="L131" s="4" t="n">
        <f aca="false">IF(COUNT(I131:K131)=0,"",SUM(I131:K131))</f>
        <v>0</v>
      </c>
    </row>
    <row r="132" customFormat="false" ht="15" hidden="false" customHeight="false" outlineLevel="0" collapsed="false">
      <c r="A132" s="2" t="n">
        <v>131</v>
      </c>
      <c r="B132" s="2" t="s">
        <v>119</v>
      </c>
      <c r="C132" s="2" t="s">
        <v>148</v>
      </c>
      <c r="D132" s="2" t="s">
        <v>14</v>
      </c>
      <c r="E132" s="3" t="n">
        <v>711</v>
      </c>
      <c r="F132" s="4" t="n">
        <v>698.3</v>
      </c>
      <c r="G132" s="4" t="n">
        <v>8.7</v>
      </c>
      <c r="H132" s="4"/>
      <c r="I132" s="4" t="n">
        <v>38.4</v>
      </c>
      <c r="J132" s="4" t="n">
        <v>32.5</v>
      </c>
      <c r="K132" s="4" t="n">
        <v>31.9</v>
      </c>
      <c r="L132" s="4" t="n">
        <f aca="false">IF(COUNT(I132:K132)=0,"",SUM(I132:K132))</f>
        <v>102.8</v>
      </c>
    </row>
    <row r="133" customFormat="false" ht="15" hidden="false" customHeight="false" outlineLevel="0" collapsed="false">
      <c r="A133" s="2" t="n">
        <v>132</v>
      </c>
      <c r="B133" s="2" t="s">
        <v>119</v>
      </c>
      <c r="C133" s="2" t="s">
        <v>149</v>
      </c>
      <c r="D133" s="2" t="s">
        <v>14</v>
      </c>
      <c r="E133" s="3" t="n">
        <v>77</v>
      </c>
      <c r="F133" s="4" t="n">
        <v>71.5</v>
      </c>
      <c r="G133" s="4" t="n">
        <v>3.3</v>
      </c>
      <c r="H133" s="4"/>
      <c r="I133" s="4" t="n">
        <v>14.5</v>
      </c>
      <c r="J133" s="4" t="n">
        <v>12.3</v>
      </c>
      <c r="K133" s="4" t="n">
        <v>12.1</v>
      </c>
      <c r="L133" s="4" t="n">
        <f aca="false">IF(COUNT(I133:K133)=0,"",SUM(I133:K133))</f>
        <v>38.9</v>
      </c>
    </row>
    <row r="134" customFormat="false" ht="15" hidden="false" customHeight="false" outlineLevel="0" collapsed="false">
      <c r="A134" s="2" t="n">
        <v>133</v>
      </c>
      <c r="B134" s="2" t="s">
        <v>119</v>
      </c>
      <c r="C134" s="2" t="s">
        <v>150</v>
      </c>
      <c r="D134" s="2" t="s">
        <v>14</v>
      </c>
      <c r="E134" s="3" t="n">
        <v>64</v>
      </c>
      <c r="F134" s="4" t="n">
        <v>65.2</v>
      </c>
      <c r="G134" s="4" t="n">
        <v>2.1</v>
      </c>
      <c r="H134" s="4"/>
      <c r="I134" s="4" t="n">
        <v>9.3</v>
      </c>
      <c r="J134" s="4" t="n">
        <v>7.9</v>
      </c>
      <c r="K134" s="4" t="n">
        <v>7.8</v>
      </c>
      <c r="L134" s="4" t="n">
        <f aca="false">IF(COUNT(I134:K134)=0,"",SUM(I134:K134))</f>
        <v>25</v>
      </c>
    </row>
    <row r="135" customFormat="false" ht="15" hidden="false" customHeight="false" outlineLevel="0" collapsed="false">
      <c r="A135" s="2" t="n">
        <v>134</v>
      </c>
      <c r="B135" s="2" t="s">
        <v>119</v>
      </c>
      <c r="C135" s="2" t="s">
        <v>151</v>
      </c>
      <c r="D135" s="2" t="s">
        <v>14</v>
      </c>
      <c r="E135" s="3" t="n">
        <v>188</v>
      </c>
      <c r="F135" s="4" t="n">
        <v>198.7</v>
      </c>
      <c r="G135" s="4" t="n">
        <v>12.9</v>
      </c>
      <c r="H135" s="4"/>
      <c r="I135" s="4" t="n">
        <v>57</v>
      </c>
      <c r="J135" s="4" t="n">
        <v>48.4</v>
      </c>
      <c r="K135" s="4" t="n">
        <v>47.4</v>
      </c>
      <c r="L135" s="4" t="n">
        <f aca="false">IF(COUNT(I135:K135)=0,"",SUM(I135:K135))</f>
        <v>152.8</v>
      </c>
    </row>
    <row r="136" customFormat="false" ht="15" hidden="false" customHeight="false" outlineLevel="0" collapsed="false">
      <c r="A136" s="2" t="n">
        <v>135</v>
      </c>
      <c r="B136" s="2" t="s">
        <v>119</v>
      </c>
      <c r="C136" s="2" t="s">
        <v>152</v>
      </c>
      <c r="D136" s="2" t="s">
        <v>14</v>
      </c>
      <c r="E136" s="3" t="n">
        <v>271</v>
      </c>
      <c r="F136" s="4" t="n">
        <v>264.3</v>
      </c>
      <c r="G136" s="4" t="n">
        <v>15.7</v>
      </c>
      <c r="H136" s="4"/>
      <c r="I136" s="4" t="n">
        <v>69.5</v>
      </c>
      <c r="J136" s="4" t="n">
        <v>58.9</v>
      </c>
      <c r="K136" s="4" t="n">
        <v>57.8</v>
      </c>
      <c r="L136" s="4" t="n">
        <f aca="false">IF(COUNT(I136:K136)=0,"",SUM(I136:K136))</f>
        <v>186.2</v>
      </c>
    </row>
    <row r="137" customFormat="false" ht="15" hidden="false" customHeight="false" outlineLevel="0" collapsed="false">
      <c r="A137" s="2" t="n">
        <v>136</v>
      </c>
      <c r="B137" s="2" t="s">
        <v>119</v>
      </c>
      <c r="C137" s="2" t="s">
        <v>153</v>
      </c>
      <c r="D137" s="2" t="s">
        <v>14</v>
      </c>
      <c r="E137" s="3" t="n">
        <v>42</v>
      </c>
      <c r="F137" s="4" t="n">
        <v>52.3</v>
      </c>
      <c r="G137" s="4" t="n">
        <v>1.6</v>
      </c>
      <c r="H137" s="4"/>
      <c r="I137" s="4" t="n">
        <v>7.3</v>
      </c>
      <c r="J137" s="4" t="n">
        <v>6.2</v>
      </c>
      <c r="K137" s="4" t="n">
        <v>6</v>
      </c>
      <c r="L137" s="4" t="n">
        <f aca="false">IF(COUNT(I137:K137)=0,"",SUM(I137:K137))</f>
        <v>19.5</v>
      </c>
    </row>
    <row r="138" customFormat="false" ht="15" hidden="false" customHeight="false" outlineLevel="0" collapsed="false">
      <c r="A138" s="2" t="n">
        <v>137</v>
      </c>
      <c r="B138" s="2" t="s">
        <v>119</v>
      </c>
      <c r="C138" s="2" t="s">
        <v>154</v>
      </c>
      <c r="D138" s="2" t="s">
        <v>14</v>
      </c>
      <c r="E138" s="3" t="n">
        <v>5733</v>
      </c>
      <c r="F138" s="4" t="n">
        <v>5775.3</v>
      </c>
      <c r="G138" s="4" t="n">
        <v>226.6</v>
      </c>
      <c r="H138" s="4"/>
      <c r="I138" s="4" t="n">
        <v>1000</v>
      </c>
      <c r="J138" s="4" t="n">
        <v>1131</v>
      </c>
      <c r="K138" s="4" t="n">
        <v>1108.4</v>
      </c>
      <c r="L138" s="4" t="n">
        <f aca="false">IF(COUNT(I138:K138)=0,"",SUM(I138:K138))</f>
        <v>3239.4</v>
      </c>
    </row>
    <row r="139" customFormat="false" ht="15" hidden="false" customHeight="false" outlineLevel="0" collapsed="false">
      <c r="A139" s="2" t="n">
        <v>138</v>
      </c>
      <c r="B139" s="2" t="s">
        <v>119</v>
      </c>
      <c r="C139" s="2" t="s">
        <v>155</v>
      </c>
      <c r="D139" s="2" t="s">
        <v>14</v>
      </c>
      <c r="E139" s="3" t="n">
        <v>4793</v>
      </c>
      <c r="F139" s="4" t="n">
        <v>4816.3</v>
      </c>
      <c r="G139" s="4" t="n">
        <v>488.2</v>
      </c>
      <c r="H139" s="4"/>
      <c r="I139" s="4" t="n">
        <v>2200</v>
      </c>
      <c r="J139" s="4" t="n">
        <v>634</v>
      </c>
      <c r="K139" s="4" t="n">
        <v>621.3</v>
      </c>
      <c r="L139" s="4" t="n">
        <f aca="false">IF(COUNT(I139:K139)=0,"",SUM(I139:K139))</f>
        <v>3455.3</v>
      </c>
    </row>
    <row r="140" customFormat="false" ht="15" hidden="false" customHeight="false" outlineLevel="0" collapsed="false">
      <c r="A140" s="2" t="n">
        <v>139</v>
      </c>
      <c r="B140" s="2" t="s">
        <v>119</v>
      </c>
      <c r="C140" s="2" t="s">
        <v>156</v>
      </c>
      <c r="D140" s="2" t="s">
        <v>14</v>
      </c>
      <c r="E140" s="3" t="n">
        <v>67</v>
      </c>
      <c r="F140" s="4" t="n">
        <v>40.2</v>
      </c>
      <c r="G140" s="4" t="n">
        <v>16.1</v>
      </c>
      <c r="H140" s="4"/>
      <c r="I140" s="4" t="n">
        <v>71.5</v>
      </c>
      <c r="J140" s="4" t="n">
        <v>60.7</v>
      </c>
      <c r="K140" s="4" t="n">
        <v>59.5</v>
      </c>
      <c r="L140" s="4" t="n">
        <f aca="false">IF(COUNT(I140:K140)=0,"",SUM(I140:K140))</f>
        <v>191.7</v>
      </c>
    </row>
    <row r="141" customFormat="false" ht="15" hidden="false" customHeight="false" outlineLevel="0" collapsed="false">
      <c r="A141" s="2" t="n">
        <v>140</v>
      </c>
      <c r="B141" s="2" t="s">
        <v>119</v>
      </c>
      <c r="C141" s="2" t="s">
        <v>157</v>
      </c>
      <c r="D141" s="2" t="s">
        <v>14</v>
      </c>
      <c r="E141" s="3" t="n">
        <v>33</v>
      </c>
      <c r="F141" s="4" t="n">
        <v>39.3</v>
      </c>
      <c r="G141" s="4" t="n">
        <v>1.6</v>
      </c>
      <c r="H141" s="4"/>
      <c r="I141" s="4" t="n">
        <v>7.3</v>
      </c>
      <c r="J141" s="4" t="n">
        <v>6.2</v>
      </c>
      <c r="K141" s="4" t="n">
        <v>6</v>
      </c>
      <c r="L141" s="4" t="n">
        <f aca="false">IF(COUNT(I141:K141)=0,"",SUM(I141:K141))</f>
        <v>19.5</v>
      </c>
    </row>
    <row r="142" customFormat="false" ht="15" hidden="false" customHeight="false" outlineLevel="0" collapsed="false">
      <c r="A142" s="2" t="n">
        <v>141</v>
      </c>
      <c r="B142" s="2" t="s">
        <v>119</v>
      </c>
      <c r="C142" s="2" t="s">
        <v>158</v>
      </c>
      <c r="D142" s="2" t="s">
        <v>14</v>
      </c>
      <c r="E142" s="3" t="n">
        <v>3</v>
      </c>
      <c r="F142" s="4" t="n">
        <v>4</v>
      </c>
      <c r="G142" s="4" t="n">
        <v>0</v>
      </c>
      <c r="H142" s="4"/>
      <c r="I142" s="4" t="n">
        <v>0</v>
      </c>
      <c r="J142" s="4" t="n">
        <v>0</v>
      </c>
      <c r="K142" s="4" t="n">
        <v>0</v>
      </c>
      <c r="L142" s="4" t="n">
        <f aca="false">IF(COUNT(I142:K142)=0,"",SUM(I142:K142))</f>
        <v>0</v>
      </c>
    </row>
    <row r="143" customFormat="false" ht="15" hidden="false" customHeight="false" outlineLevel="0" collapsed="false">
      <c r="A143" s="2" t="n">
        <v>142</v>
      </c>
      <c r="B143" s="2" t="s">
        <v>119</v>
      </c>
      <c r="C143" s="2" t="s">
        <v>159</v>
      </c>
      <c r="D143" s="2" t="s">
        <v>14</v>
      </c>
      <c r="E143" s="3"/>
      <c r="F143" s="4" t="n">
        <v>0</v>
      </c>
      <c r="G143" s="4" t="n">
        <v>0</v>
      </c>
      <c r="H143" s="4"/>
      <c r="I143" s="4" t="n">
        <v>0</v>
      </c>
      <c r="J143" s="4" t="n">
        <v>0</v>
      </c>
      <c r="K143" s="4" t="n">
        <v>0</v>
      </c>
      <c r="L143" s="4" t="n">
        <f aca="false">IF(COUNT(I143:K143)=0,"",SUM(I143:K143))</f>
        <v>0</v>
      </c>
    </row>
    <row r="144" customFormat="false" ht="15" hidden="false" customHeight="false" outlineLevel="0" collapsed="false">
      <c r="A144" s="2" t="n">
        <v>143</v>
      </c>
      <c r="B144" s="2" t="s">
        <v>119</v>
      </c>
      <c r="C144" s="2" t="s">
        <v>160</v>
      </c>
      <c r="D144" s="2" t="s">
        <v>14</v>
      </c>
      <c r="E144" s="3"/>
      <c r="F144" s="4" t="n">
        <v>0</v>
      </c>
      <c r="G144" s="4" t="n">
        <v>0</v>
      </c>
      <c r="H144" s="4"/>
      <c r="I144" s="4" t="n">
        <v>0</v>
      </c>
      <c r="J144" s="4" t="n">
        <v>0</v>
      </c>
      <c r="K144" s="4" t="n">
        <v>0</v>
      </c>
      <c r="L144" s="4" t="n">
        <f aca="false">IF(COUNT(I144:K144)=0,"",SUM(I144:K144))</f>
        <v>0</v>
      </c>
    </row>
    <row r="145" customFormat="false" ht="15" hidden="false" customHeight="false" outlineLevel="0" collapsed="false">
      <c r="A145" s="2" t="n">
        <v>144</v>
      </c>
      <c r="B145" s="2" t="s">
        <v>119</v>
      </c>
      <c r="C145" s="2" t="s">
        <v>161</v>
      </c>
      <c r="D145" s="2" t="s">
        <v>14</v>
      </c>
      <c r="E145" s="3"/>
      <c r="F145" s="4" t="n">
        <v>0</v>
      </c>
      <c r="G145" s="4" t="n">
        <v>0</v>
      </c>
      <c r="H145" s="4"/>
      <c r="I145" s="4" t="n">
        <v>0</v>
      </c>
      <c r="J145" s="4" t="n">
        <v>0</v>
      </c>
      <c r="K145" s="4" t="n">
        <v>0</v>
      </c>
      <c r="L145" s="4" t="n">
        <f aca="false">IF(COUNT(I145:K145)=0,"",SUM(I145:K145))</f>
        <v>0</v>
      </c>
    </row>
    <row r="146" customFormat="false" ht="15" hidden="false" customHeight="false" outlineLevel="0" collapsed="false">
      <c r="A146" s="2" t="n">
        <v>145</v>
      </c>
      <c r="B146" s="2" t="s">
        <v>119</v>
      </c>
      <c r="C146" s="2" t="s">
        <v>162</v>
      </c>
      <c r="D146" s="2" t="s">
        <v>14</v>
      </c>
      <c r="E146" s="3" t="n">
        <v>505</v>
      </c>
      <c r="F146" s="4" t="n">
        <v>496.5</v>
      </c>
      <c r="G146" s="4" t="n">
        <v>17.3</v>
      </c>
      <c r="H146" s="4"/>
      <c r="I146" s="4" t="n">
        <v>76.7</v>
      </c>
      <c r="J146" s="4" t="n">
        <v>65.1</v>
      </c>
      <c r="K146" s="4" t="n">
        <v>63.8</v>
      </c>
      <c r="L146" s="4" t="n">
        <f aca="false">IF(COUNT(I146:K146)=0,"",SUM(I146:K146))</f>
        <v>205.6</v>
      </c>
    </row>
    <row r="147" customFormat="false" ht="15" hidden="false" customHeight="false" outlineLevel="0" collapsed="false">
      <c r="A147" s="2" t="n">
        <v>146</v>
      </c>
      <c r="B147" s="2" t="s">
        <v>119</v>
      </c>
      <c r="C147" s="2" t="s">
        <v>163</v>
      </c>
      <c r="D147" s="2" t="s">
        <v>14</v>
      </c>
      <c r="E147" s="3" t="n">
        <v>256</v>
      </c>
      <c r="F147" s="4" t="n">
        <v>259.7</v>
      </c>
      <c r="G147" s="4" t="n">
        <v>3.2</v>
      </c>
      <c r="H147" s="4"/>
      <c r="I147" s="4" t="n">
        <v>14.2</v>
      </c>
      <c r="J147" s="4" t="n">
        <v>12.1</v>
      </c>
      <c r="K147" s="4" t="n">
        <v>11.8</v>
      </c>
      <c r="L147" s="4" t="n">
        <f aca="false">IF(COUNT(I147:K147)=0,"",SUM(I147:K147))</f>
        <v>38.1</v>
      </c>
    </row>
    <row r="148" customFormat="false" ht="15" hidden="false" customHeight="false" outlineLevel="0" collapsed="false">
      <c r="A148" s="2" t="n">
        <v>147</v>
      </c>
      <c r="B148" s="2" t="s">
        <v>119</v>
      </c>
      <c r="C148" s="2" t="s">
        <v>164</v>
      </c>
      <c r="D148" s="2" t="s">
        <v>14</v>
      </c>
      <c r="E148" s="3" t="n">
        <v>89</v>
      </c>
      <c r="F148" s="4" t="n">
        <v>87.8</v>
      </c>
      <c r="G148" s="4" t="n">
        <v>0.5</v>
      </c>
      <c r="H148" s="4"/>
      <c r="I148" s="4" t="n">
        <v>2.4</v>
      </c>
      <c r="J148" s="4" t="n">
        <v>2</v>
      </c>
      <c r="K148" s="4" t="n">
        <v>2</v>
      </c>
      <c r="L148" s="4" t="n">
        <f aca="false">IF(COUNT(I148:K148)=0,"",SUM(I148:K148))</f>
        <v>6.4</v>
      </c>
    </row>
    <row r="149" customFormat="false" ht="15" hidden="false" customHeight="false" outlineLevel="0" collapsed="false">
      <c r="A149" s="2" t="n">
        <v>148</v>
      </c>
      <c r="B149" s="2" t="s">
        <v>165</v>
      </c>
      <c r="C149" s="2" t="s">
        <v>166</v>
      </c>
      <c r="D149" s="2" t="s">
        <v>14</v>
      </c>
      <c r="E149" s="3" t="n">
        <v>69</v>
      </c>
      <c r="F149" s="4" t="n">
        <v>57</v>
      </c>
      <c r="G149" s="4" t="n">
        <v>7</v>
      </c>
      <c r="H149" s="4"/>
      <c r="I149" s="4" t="n">
        <v>31.1</v>
      </c>
      <c r="J149" s="4" t="n">
        <v>26.4</v>
      </c>
      <c r="K149" s="4" t="n">
        <v>0</v>
      </c>
      <c r="L149" s="4" t="n">
        <f aca="false">IF(COUNT(I149:K149)=0,"",SUM(I149:K149))</f>
        <v>57.5</v>
      </c>
    </row>
    <row r="150" customFormat="false" ht="15" hidden="false" customHeight="false" outlineLevel="0" collapsed="false">
      <c r="A150" s="2" t="n">
        <v>149</v>
      </c>
      <c r="B150" s="2" t="s">
        <v>165</v>
      </c>
      <c r="C150" s="2" t="s">
        <v>167</v>
      </c>
      <c r="D150" s="2" t="s">
        <v>14</v>
      </c>
      <c r="E150" s="3"/>
      <c r="F150" s="4" t="n">
        <v>0</v>
      </c>
      <c r="G150" s="4" t="n">
        <v>0</v>
      </c>
      <c r="H150" s="4"/>
      <c r="I150" s="4" t="n">
        <v>0</v>
      </c>
      <c r="J150" s="4" t="n">
        <v>5</v>
      </c>
      <c r="K150" s="4" t="n">
        <v>20</v>
      </c>
      <c r="L150" s="4" t="n">
        <f aca="false">IF(COUNT(I150:K150)=0,"",SUM(I150:K150))</f>
        <v>25</v>
      </c>
    </row>
    <row r="151" customFormat="false" ht="15" hidden="false" customHeight="false" outlineLevel="0" collapsed="false">
      <c r="A151" s="2" t="n">
        <v>150</v>
      </c>
      <c r="B151" s="2" t="s">
        <v>165</v>
      </c>
      <c r="C151" s="2" t="s">
        <v>168</v>
      </c>
      <c r="D151" s="2" t="s">
        <v>14</v>
      </c>
      <c r="E151" s="3" t="n">
        <v>2912</v>
      </c>
      <c r="F151" s="4" t="n">
        <v>2956.5</v>
      </c>
      <c r="G151" s="4" t="n">
        <v>144.9</v>
      </c>
      <c r="H151" s="4"/>
      <c r="I151" s="4" t="n">
        <v>642.5</v>
      </c>
      <c r="J151" s="4" t="n">
        <v>545.1</v>
      </c>
      <c r="K151" s="4" t="n">
        <v>534.2</v>
      </c>
      <c r="L151" s="4" t="n">
        <f aca="false">IF(COUNT(I151:K151)=0,"",SUM(I151:K151))</f>
        <v>1721.8</v>
      </c>
    </row>
    <row r="152" customFormat="false" ht="15" hidden="false" customHeight="false" outlineLevel="0" collapsed="false">
      <c r="A152" s="2" t="n">
        <v>151</v>
      </c>
      <c r="B152" s="2" t="s">
        <v>165</v>
      </c>
      <c r="C152" s="2" t="s">
        <v>169</v>
      </c>
      <c r="D152" s="2" t="s">
        <v>14</v>
      </c>
      <c r="E152" s="3" t="n">
        <v>1480</v>
      </c>
      <c r="F152" s="4" t="n">
        <v>1357.7</v>
      </c>
      <c r="G152" s="4" t="n">
        <v>163.7</v>
      </c>
      <c r="H152" s="4"/>
      <c r="I152" s="4" t="n">
        <v>725.7</v>
      </c>
      <c r="J152" s="4" t="n">
        <v>615.7</v>
      </c>
      <c r="K152" s="4" t="n">
        <v>603.4</v>
      </c>
      <c r="L152" s="4" t="n">
        <f aca="false">IF(COUNT(I152:K152)=0,"",SUM(I152:K152))</f>
        <v>1944.8</v>
      </c>
    </row>
    <row r="153" customFormat="false" ht="15" hidden="false" customHeight="false" outlineLevel="0" collapsed="false">
      <c r="A153" s="2" t="n">
        <v>152</v>
      </c>
      <c r="B153" s="2" t="s">
        <v>165</v>
      </c>
      <c r="C153" s="2" t="s">
        <v>170</v>
      </c>
      <c r="D153" s="2" t="s">
        <v>14</v>
      </c>
      <c r="E153" s="3" t="n">
        <v>803</v>
      </c>
      <c r="F153" s="4" t="n">
        <v>814.9</v>
      </c>
      <c r="G153" s="4" t="n">
        <v>12.3</v>
      </c>
      <c r="H153" s="4"/>
      <c r="I153" s="4" t="n">
        <v>54.7</v>
      </c>
      <c r="J153" s="4" t="n">
        <v>46.4</v>
      </c>
      <c r="K153" s="4" t="n">
        <v>45.5</v>
      </c>
      <c r="L153" s="4" t="n">
        <f aca="false">IF(COUNT(I153:K153)=0,"",SUM(I153:K153))</f>
        <v>146.6</v>
      </c>
    </row>
    <row r="154" customFormat="false" ht="15" hidden="false" customHeight="false" outlineLevel="0" collapsed="false">
      <c r="A154" s="2" t="n">
        <v>153</v>
      </c>
      <c r="B154" s="2" t="s">
        <v>165</v>
      </c>
      <c r="C154" s="2" t="s">
        <v>171</v>
      </c>
      <c r="D154" s="2" t="s">
        <v>14</v>
      </c>
      <c r="E154" s="3" t="n">
        <v>4</v>
      </c>
      <c r="F154" s="4" t="n">
        <v>4</v>
      </c>
      <c r="G154" s="4" t="n">
        <v>0</v>
      </c>
      <c r="H154" s="4"/>
      <c r="I154" s="4" t="n">
        <v>0</v>
      </c>
      <c r="J154" s="4" t="n">
        <v>0</v>
      </c>
      <c r="K154" s="4" t="n">
        <v>0</v>
      </c>
      <c r="L154" s="4" t="n">
        <f aca="false">IF(COUNT(I154:K154)=0,"",SUM(I154:K154))</f>
        <v>0</v>
      </c>
    </row>
    <row r="155" customFormat="false" ht="15" hidden="false" customHeight="false" outlineLevel="0" collapsed="false">
      <c r="A155" s="2" t="n">
        <v>154</v>
      </c>
      <c r="B155" s="2" t="s">
        <v>165</v>
      </c>
      <c r="C155" s="2" t="s">
        <v>172</v>
      </c>
      <c r="D155" s="2" t="s">
        <v>14</v>
      </c>
      <c r="E155" s="3"/>
      <c r="F155" s="4" t="n">
        <v>0</v>
      </c>
      <c r="G155" s="4" t="n">
        <v>0</v>
      </c>
      <c r="H155" s="4"/>
      <c r="I155" s="4" t="n">
        <v>0</v>
      </c>
      <c r="J155" s="4" t="n">
        <v>0</v>
      </c>
      <c r="K155" s="4" t="n">
        <v>0</v>
      </c>
      <c r="L155" s="4" t="n">
        <f aca="false">IF(COUNT(I155:K155)=0,"",SUM(I155:K155))</f>
        <v>0</v>
      </c>
    </row>
    <row r="156" customFormat="false" ht="15" hidden="false" customHeight="false" outlineLevel="0" collapsed="false">
      <c r="A156" s="2" t="n">
        <v>155</v>
      </c>
      <c r="B156" s="2" t="s">
        <v>165</v>
      </c>
      <c r="C156" s="2" t="s">
        <v>173</v>
      </c>
      <c r="D156" s="2" t="s">
        <v>14</v>
      </c>
      <c r="E156" s="3" t="n">
        <v>10</v>
      </c>
      <c r="F156" s="4" t="n">
        <v>3.9</v>
      </c>
      <c r="G156" s="4" t="n">
        <v>5.8</v>
      </c>
      <c r="H156" s="4"/>
      <c r="I156" s="4" t="n">
        <v>25.5</v>
      </c>
      <c r="J156" s="4" t="n">
        <v>21.6</v>
      </c>
      <c r="K156" s="4" t="n">
        <v>21.2</v>
      </c>
      <c r="L156" s="4" t="n">
        <f aca="false">IF(COUNT(I156:K156)=0,"",SUM(I156:K156))</f>
        <v>68.3</v>
      </c>
    </row>
    <row r="157" customFormat="false" ht="15" hidden="false" customHeight="false" outlineLevel="0" collapsed="false">
      <c r="A157" s="2" t="n">
        <v>156</v>
      </c>
      <c r="B157" s="2" t="s">
        <v>165</v>
      </c>
      <c r="C157" s="2" t="s">
        <v>174</v>
      </c>
      <c r="D157" s="2" t="s">
        <v>14</v>
      </c>
      <c r="E157" s="3" t="n">
        <v>201</v>
      </c>
      <c r="F157" s="4" t="n">
        <v>201.7</v>
      </c>
      <c r="G157" s="4" t="n">
        <v>2.3</v>
      </c>
      <c r="H157" s="4"/>
      <c r="I157" s="4" t="n">
        <v>10.4</v>
      </c>
      <c r="J157" s="4" t="n">
        <v>8.8</v>
      </c>
      <c r="K157" s="4" t="n">
        <v>8.6</v>
      </c>
      <c r="L157" s="4" t="n">
        <f aca="false">IF(COUNT(I157:K157)=0,"",SUM(I157:K157))</f>
        <v>27.8</v>
      </c>
    </row>
    <row r="158" customFormat="false" ht="15" hidden="false" customHeight="false" outlineLevel="0" collapsed="false">
      <c r="A158" s="2" t="n">
        <v>157</v>
      </c>
      <c r="B158" s="2" t="s">
        <v>175</v>
      </c>
      <c r="C158" s="2" t="s">
        <v>176</v>
      </c>
      <c r="D158" s="2" t="s">
        <v>14</v>
      </c>
      <c r="E158" s="3" t="n">
        <v>4914</v>
      </c>
      <c r="F158" s="4" t="n">
        <v>4927.7</v>
      </c>
      <c r="G158" s="4" t="n">
        <v>97</v>
      </c>
      <c r="H158" s="4"/>
      <c r="I158" s="4" t="n">
        <v>448.3</v>
      </c>
      <c r="J158" s="4" t="n">
        <v>361.3</v>
      </c>
      <c r="K158" s="4" t="n">
        <v>355.1</v>
      </c>
      <c r="L158" s="4" t="n">
        <f aca="false">IF(COUNT(I158:K158)=0,"",SUM(I158:K158))</f>
        <v>1164.7</v>
      </c>
    </row>
    <row r="159" customFormat="false" ht="15" hidden="false" customHeight="false" outlineLevel="0" collapsed="false">
      <c r="A159" s="2" t="n">
        <v>158</v>
      </c>
      <c r="B159" s="2" t="s">
        <v>175</v>
      </c>
      <c r="C159" s="2" t="s">
        <v>177</v>
      </c>
      <c r="D159" s="2" t="s">
        <v>14</v>
      </c>
      <c r="E159" s="3" t="n">
        <v>20</v>
      </c>
      <c r="F159" s="4" t="n">
        <v>20.3</v>
      </c>
      <c r="G159" s="4" t="n">
        <v>0.3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f aca="false">IF(COUNT(I159:K159)=0,"",SUM(I159:K159))</f>
        <v>0</v>
      </c>
    </row>
    <row r="160" customFormat="false" ht="15" hidden="false" customHeight="false" outlineLevel="0" collapsed="false">
      <c r="A160" s="2" t="n">
        <v>159</v>
      </c>
      <c r="B160" s="2" t="s">
        <v>175</v>
      </c>
      <c r="C160" s="2" t="s">
        <v>178</v>
      </c>
      <c r="D160" s="2" t="s">
        <v>14</v>
      </c>
      <c r="E160" s="3"/>
      <c r="F160" s="4" t="n">
        <v>0</v>
      </c>
      <c r="G160" s="4" t="n">
        <v>0</v>
      </c>
      <c r="H160" s="4"/>
      <c r="I160" s="4" t="n">
        <v>0</v>
      </c>
      <c r="J160" s="4" t="n">
        <v>0</v>
      </c>
      <c r="K160" s="4" t="n">
        <v>0</v>
      </c>
      <c r="L160" s="4" t="n">
        <f aca="false">IF(COUNT(I160:K160)=0,"",SUM(I160:K160))</f>
        <v>0</v>
      </c>
    </row>
    <row r="161" customFormat="false" ht="15" hidden="false" customHeight="false" outlineLevel="0" collapsed="false">
      <c r="A161" s="2" t="n">
        <v>160</v>
      </c>
      <c r="B161" s="2" t="s">
        <v>175</v>
      </c>
      <c r="C161" s="2" t="s">
        <v>179</v>
      </c>
      <c r="D161" s="2" t="s">
        <v>14</v>
      </c>
      <c r="E161" s="3" t="n">
        <v>6678</v>
      </c>
      <c r="F161" s="4" t="n">
        <v>6695</v>
      </c>
      <c r="G161" s="4" t="n">
        <v>52.6</v>
      </c>
      <c r="H161" s="4" t="n">
        <v>63</v>
      </c>
      <c r="I161" s="4" t="n">
        <v>239.6</v>
      </c>
      <c r="J161" s="4" t="n">
        <v>204.6</v>
      </c>
      <c r="K161" s="4" t="n">
        <v>200.7</v>
      </c>
      <c r="L161" s="4" t="n">
        <f aca="false">IF(COUNT(I161:K161)=0,"",SUM(I161:K161))</f>
        <v>644.9</v>
      </c>
    </row>
    <row r="162" customFormat="false" ht="15" hidden="false" customHeight="false" outlineLevel="0" collapsed="false">
      <c r="A162" s="2" t="n">
        <v>161</v>
      </c>
      <c r="B162" s="2" t="s">
        <v>175</v>
      </c>
      <c r="C162" s="2" t="s">
        <v>180</v>
      </c>
      <c r="D162" s="2" t="s">
        <v>14</v>
      </c>
      <c r="E162" s="3" t="n">
        <v>8522</v>
      </c>
      <c r="F162" s="4" t="n">
        <v>8292.7</v>
      </c>
      <c r="G162" s="4" t="n">
        <v>305.4</v>
      </c>
      <c r="H162" s="4" t="n">
        <v>161</v>
      </c>
      <c r="I162" s="4" t="n">
        <v>1425.2</v>
      </c>
      <c r="J162" s="4" t="n">
        <v>1103.5</v>
      </c>
      <c r="K162" s="4" t="n">
        <v>1082.7</v>
      </c>
      <c r="L162" s="4" t="n">
        <f aca="false">IF(COUNT(I162:K162)=0,"",SUM(I162:K162))</f>
        <v>3611.4</v>
      </c>
    </row>
    <row r="163" customFormat="false" ht="15" hidden="false" customHeight="false" outlineLevel="0" collapsed="false">
      <c r="A163" s="2" t="n">
        <v>162</v>
      </c>
      <c r="B163" s="2" t="s">
        <v>175</v>
      </c>
      <c r="C163" s="2" t="s">
        <v>181</v>
      </c>
      <c r="D163" s="2" t="s">
        <v>14</v>
      </c>
      <c r="E163" s="3" t="n">
        <v>28</v>
      </c>
      <c r="F163" s="4" t="n">
        <v>25.5</v>
      </c>
      <c r="G163" s="4" t="n">
        <v>2.6</v>
      </c>
      <c r="H163" s="4" t="n">
        <v>2</v>
      </c>
      <c r="I163" s="4" t="n">
        <v>11.9</v>
      </c>
      <c r="J163" s="4" t="n">
        <v>10.1</v>
      </c>
      <c r="K163" s="4" t="n">
        <v>9.9</v>
      </c>
      <c r="L163" s="4" t="n">
        <f aca="false">IF(COUNT(I163:K163)=0,"",SUM(I163:K163))</f>
        <v>31.9</v>
      </c>
    </row>
    <row r="164" customFormat="false" ht="15" hidden="false" customHeight="false" outlineLevel="0" collapsed="false">
      <c r="A164" s="2" t="n">
        <v>163</v>
      </c>
      <c r="B164" s="2" t="s">
        <v>175</v>
      </c>
      <c r="C164" s="2" t="s">
        <v>182</v>
      </c>
      <c r="D164" s="2" t="s">
        <v>14</v>
      </c>
      <c r="E164" s="3" t="n">
        <v>22664</v>
      </c>
      <c r="F164" s="4" t="n">
        <v>22729.6</v>
      </c>
      <c r="G164" s="4" t="n">
        <v>401.3</v>
      </c>
      <c r="H164" s="4" t="n">
        <v>452</v>
      </c>
      <c r="I164" s="4" t="n">
        <v>1838.1</v>
      </c>
      <c r="J164" s="4" t="n">
        <v>1530.6</v>
      </c>
      <c r="K164" s="4" t="n">
        <v>1501.3</v>
      </c>
      <c r="L164" s="4" t="n">
        <f aca="false">IF(COUNT(I164:K164)=0,"",SUM(I164:K164))</f>
        <v>4870</v>
      </c>
    </row>
    <row r="165" customFormat="false" ht="15" hidden="false" customHeight="false" outlineLevel="0" collapsed="false">
      <c r="A165" s="2" t="n">
        <v>164</v>
      </c>
      <c r="B165" s="2" t="s">
        <v>175</v>
      </c>
      <c r="C165" s="2" t="s">
        <v>183</v>
      </c>
      <c r="D165" s="2" t="s">
        <v>14</v>
      </c>
      <c r="E165" s="3" t="n">
        <v>4108</v>
      </c>
      <c r="F165" s="4" t="n">
        <v>4051.3</v>
      </c>
      <c r="G165" s="4" t="n">
        <v>78.5</v>
      </c>
      <c r="H165" s="4" t="n">
        <v>126</v>
      </c>
      <c r="I165" s="4" t="n">
        <v>354.4</v>
      </c>
      <c r="J165" s="4" t="n">
        <v>301.8</v>
      </c>
      <c r="K165" s="4" t="n">
        <v>396.1</v>
      </c>
      <c r="L165" s="4" t="n">
        <f aca="false">IF(COUNT(I165:K165)=0,"",SUM(I165:K165))</f>
        <v>1052.3</v>
      </c>
    </row>
    <row r="166" customFormat="false" ht="15" hidden="false" customHeight="false" outlineLevel="0" collapsed="false">
      <c r="A166" s="2" t="n">
        <v>165</v>
      </c>
      <c r="B166" s="2" t="s">
        <v>175</v>
      </c>
      <c r="C166" s="2" t="s">
        <v>184</v>
      </c>
      <c r="D166" s="2" t="s">
        <v>14</v>
      </c>
      <c r="E166" s="3" t="n">
        <v>472</v>
      </c>
      <c r="F166" s="4" t="n">
        <v>473</v>
      </c>
      <c r="G166" s="4" t="n">
        <v>0.5</v>
      </c>
      <c r="H166" s="4" t="n">
        <v>2</v>
      </c>
      <c r="I166" s="4" t="n">
        <v>2.2</v>
      </c>
      <c r="J166" s="4" t="n">
        <v>1.8</v>
      </c>
      <c r="K166" s="4" t="n">
        <v>1.8</v>
      </c>
      <c r="L166" s="4" t="n">
        <f aca="false">IF(COUNT(I166:K166)=0,"",SUM(I166:K166))</f>
        <v>5.8</v>
      </c>
    </row>
    <row r="167" customFormat="false" ht="15" hidden="false" customHeight="false" outlineLevel="0" collapsed="false">
      <c r="A167" s="2" t="n">
        <v>166</v>
      </c>
      <c r="B167" s="2" t="s">
        <v>175</v>
      </c>
      <c r="C167" s="2" t="s">
        <v>185</v>
      </c>
      <c r="D167" s="2" t="s">
        <v>14</v>
      </c>
      <c r="E167" s="3" t="n">
        <v>14786</v>
      </c>
      <c r="F167" s="4" t="n">
        <v>14885</v>
      </c>
      <c r="G167" s="4" t="n">
        <v>866.9</v>
      </c>
      <c r="H167" s="4" t="n">
        <v>1030</v>
      </c>
      <c r="I167" s="4" t="n">
        <v>3941.8</v>
      </c>
      <c r="J167" s="4" t="n">
        <v>3355.8</v>
      </c>
      <c r="K167" s="4" t="n">
        <v>3591</v>
      </c>
      <c r="L167" s="4" t="n">
        <f aca="false">IF(COUNT(I167:K167)=0,"",SUM(I167:K167))</f>
        <v>10888.6</v>
      </c>
    </row>
    <row r="168" customFormat="false" ht="15" hidden="false" customHeight="false" outlineLevel="0" collapsed="false">
      <c r="A168" s="2" t="n">
        <v>167</v>
      </c>
      <c r="B168" s="2" t="s">
        <v>175</v>
      </c>
      <c r="C168" s="2" t="s">
        <v>186</v>
      </c>
      <c r="D168" s="2" t="s">
        <v>14</v>
      </c>
      <c r="E168" s="3" t="n">
        <v>202</v>
      </c>
      <c r="F168" s="4" t="n">
        <v>202.4</v>
      </c>
      <c r="G168" s="4" t="n">
        <v>12.1</v>
      </c>
      <c r="H168" s="4" t="n">
        <v>13</v>
      </c>
      <c r="I168" s="4" t="n">
        <v>55.2</v>
      </c>
      <c r="J168" s="4" t="n">
        <v>46.8</v>
      </c>
      <c r="K168" s="4" t="n">
        <v>45.8</v>
      </c>
      <c r="L168" s="4" t="n">
        <f aca="false">IF(COUNT(I168:K168)=0,"",SUM(I168:K168))</f>
        <v>147.8</v>
      </c>
    </row>
    <row r="169" customFormat="false" ht="15" hidden="false" customHeight="false" outlineLevel="0" collapsed="false">
      <c r="A169" s="2" t="n">
        <v>168</v>
      </c>
      <c r="B169" s="2" t="s">
        <v>175</v>
      </c>
      <c r="C169" s="2" t="s">
        <v>187</v>
      </c>
      <c r="D169" s="2" t="s">
        <v>14</v>
      </c>
      <c r="E169" s="3" t="n">
        <v>842</v>
      </c>
      <c r="F169" s="4" t="n">
        <v>849.1</v>
      </c>
      <c r="G169" s="4" t="n">
        <v>51.2</v>
      </c>
      <c r="H169" s="4" t="n">
        <v>49</v>
      </c>
      <c r="I169" s="4" t="n">
        <v>232.8</v>
      </c>
      <c r="J169" s="4" t="n">
        <v>198.8</v>
      </c>
      <c r="K169" s="4" t="n">
        <v>195.1</v>
      </c>
      <c r="L169" s="4" t="n">
        <f aca="false">IF(COUNT(I169:K169)=0,"",SUM(I169:K169))</f>
        <v>626.7</v>
      </c>
    </row>
    <row r="170" customFormat="false" ht="15" hidden="false" customHeight="false" outlineLevel="0" collapsed="false">
      <c r="A170" s="2" t="n">
        <v>169</v>
      </c>
      <c r="B170" s="2" t="s">
        <v>175</v>
      </c>
      <c r="C170" s="2" t="s">
        <v>188</v>
      </c>
      <c r="D170" s="2" t="s">
        <v>14</v>
      </c>
      <c r="E170" s="3" t="n">
        <v>4104</v>
      </c>
      <c r="F170" s="4" t="n">
        <v>4053.7</v>
      </c>
      <c r="G170" s="4" t="n">
        <v>165.5</v>
      </c>
      <c r="H170" s="4" t="n">
        <v>144</v>
      </c>
      <c r="I170" s="4" t="n">
        <v>753</v>
      </c>
      <c r="J170" s="4" t="n">
        <v>643.5</v>
      </c>
      <c r="K170" s="4" t="n">
        <v>631.5</v>
      </c>
      <c r="L170" s="4" t="n">
        <f aca="false">IF(COUNT(I170:K170)=0,"",SUM(I170:K170))</f>
        <v>2028</v>
      </c>
    </row>
    <row r="171" customFormat="false" ht="15" hidden="false" customHeight="false" outlineLevel="0" collapsed="false">
      <c r="A171" s="2" t="n">
        <v>170</v>
      </c>
      <c r="B171" s="2" t="s">
        <v>175</v>
      </c>
      <c r="C171" s="2" t="s">
        <v>189</v>
      </c>
      <c r="D171" s="2" t="s">
        <v>14</v>
      </c>
      <c r="E171" s="3" t="n">
        <v>218</v>
      </c>
      <c r="F171" s="4" t="n">
        <v>429</v>
      </c>
      <c r="G171" s="4" t="n">
        <v>18.3</v>
      </c>
      <c r="H171" s="4" t="n">
        <v>29</v>
      </c>
      <c r="I171" s="4" t="n">
        <v>82.4</v>
      </c>
      <c r="J171" s="4" t="n">
        <v>73.6</v>
      </c>
      <c r="K171" s="4" t="n">
        <v>72.7</v>
      </c>
      <c r="L171" s="4" t="n">
        <f aca="false">IF(COUNT(I171:K171)=0,"",SUM(I171:K171))</f>
        <v>228.7</v>
      </c>
    </row>
    <row r="172" customFormat="false" ht="15" hidden="false" customHeight="false" outlineLevel="0" collapsed="false">
      <c r="A172" s="2" t="n">
        <v>171</v>
      </c>
      <c r="B172" s="2" t="s">
        <v>175</v>
      </c>
      <c r="C172" s="2" t="s">
        <v>190</v>
      </c>
      <c r="D172" s="2" t="s">
        <v>14</v>
      </c>
      <c r="E172" s="3" t="n">
        <v>29</v>
      </c>
      <c r="F172" s="4" t="n">
        <v>25.5</v>
      </c>
      <c r="G172" s="4" t="n">
        <v>1.2</v>
      </c>
      <c r="H172" s="4"/>
      <c r="I172" s="4" t="n">
        <v>5</v>
      </c>
      <c r="J172" s="4" t="n">
        <v>5</v>
      </c>
      <c r="K172" s="4" t="n">
        <v>5</v>
      </c>
      <c r="L172" s="4" t="n">
        <f aca="false">IF(COUNT(I172:K172)=0,"",SUM(I172:K172))</f>
        <v>15</v>
      </c>
    </row>
    <row r="173" customFormat="false" ht="15" hidden="false" customHeight="false" outlineLevel="0" collapsed="false">
      <c r="A173" s="2" t="n">
        <v>172</v>
      </c>
      <c r="B173" s="2" t="s">
        <v>175</v>
      </c>
      <c r="C173" s="2" t="s">
        <v>191</v>
      </c>
      <c r="D173" s="2" t="s">
        <v>14</v>
      </c>
      <c r="E173" s="3"/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f aca="false">IF(COUNT(I173:K173)=0,"",SUM(I173:K173))</f>
        <v>0</v>
      </c>
    </row>
    <row r="174" customFormat="false" ht="15" hidden="false" customHeight="false" outlineLevel="0" collapsed="false">
      <c r="A174" s="2" t="n">
        <v>173</v>
      </c>
      <c r="B174" s="2" t="s">
        <v>175</v>
      </c>
      <c r="C174" s="2" t="s">
        <v>192</v>
      </c>
      <c r="D174" s="2" t="s">
        <v>14</v>
      </c>
      <c r="E174" s="3"/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f aca="false">IF(COUNT(I174:K174)=0,"",SUM(I174:K174))</f>
        <v>0</v>
      </c>
    </row>
    <row r="175" customFormat="false" ht="15" hidden="false" customHeight="false" outlineLevel="0" collapsed="false">
      <c r="A175" s="2" t="n">
        <v>174</v>
      </c>
      <c r="B175" s="2" t="s">
        <v>175</v>
      </c>
      <c r="C175" s="2" t="s">
        <v>193</v>
      </c>
      <c r="D175" s="2" t="s">
        <v>14</v>
      </c>
      <c r="E175" s="3"/>
      <c r="F175" s="4"/>
      <c r="G175" s="4"/>
      <c r="H175" s="4"/>
      <c r="I175" s="4"/>
      <c r="J175" s="4"/>
      <c r="K175" s="4"/>
      <c r="L175" s="4" t="str">
        <f aca="false">IF(COUNT(I175:K175)=0,"",SUM(I175:K175))</f>
        <v/>
      </c>
    </row>
    <row r="176" customFormat="false" ht="15" hidden="false" customHeight="false" outlineLevel="0" collapsed="false">
      <c r="A176" s="2" t="n">
        <v>175</v>
      </c>
      <c r="B176" s="2" t="s">
        <v>175</v>
      </c>
      <c r="C176" s="2" t="s">
        <v>194</v>
      </c>
      <c r="D176" s="2" t="s">
        <v>14</v>
      </c>
      <c r="E176" s="3"/>
      <c r="F176" s="4" t="n">
        <v>-0.8</v>
      </c>
      <c r="G176" s="4" t="n">
        <v>0.2</v>
      </c>
      <c r="H176" s="4"/>
      <c r="I176" s="4" t="n">
        <v>1</v>
      </c>
      <c r="J176" s="4" t="n">
        <v>0</v>
      </c>
      <c r="K176" s="4" t="n">
        <v>1</v>
      </c>
      <c r="L176" s="4" t="n">
        <f aca="false">IF(COUNT(I176:K176)=0,"",SUM(I176:K176))</f>
        <v>2</v>
      </c>
    </row>
    <row r="177" customFormat="false" ht="15" hidden="false" customHeight="false" outlineLevel="0" collapsed="false">
      <c r="A177" s="2" t="n">
        <v>176</v>
      </c>
      <c r="B177" s="2" t="s">
        <v>175</v>
      </c>
      <c r="C177" s="2" t="s">
        <v>195</v>
      </c>
      <c r="D177" s="2" t="s">
        <v>14</v>
      </c>
      <c r="E177" s="3"/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f aca="false">IF(COUNT(I177:K177)=0,"",SUM(I177:K177))</f>
        <v>0</v>
      </c>
    </row>
    <row r="178" customFormat="false" ht="15" hidden="false" customHeight="false" outlineLevel="0" collapsed="false">
      <c r="A178" s="2" t="n">
        <v>177</v>
      </c>
      <c r="B178" s="2" t="s">
        <v>175</v>
      </c>
      <c r="C178" s="2" t="s">
        <v>196</v>
      </c>
      <c r="D178" s="2" t="s">
        <v>14</v>
      </c>
      <c r="E178" s="3" t="n">
        <v>7</v>
      </c>
      <c r="F178" s="4" t="n">
        <v>-7.7</v>
      </c>
      <c r="G178" s="4" t="n">
        <v>3.3</v>
      </c>
      <c r="H178" s="4" t="n">
        <v>7</v>
      </c>
      <c r="I178" s="4" t="n">
        <v>0</v>
      </c>
      <c r="J178" s="4" t="n">
        <v>0</v>
      </c>
      <c r="K178" s="4" t="n">
        <v>0</v>
      </c>
      <c r="L178" s="4" t="n">
        <f aca="false">IF(COUNT(I178:K178)=0,"",SUM(I178:K178))</f>
        <v>0</v>
      </c>
    </row>
    <row r="179" customFormat="false" ht="15" hidden="false" customHeight="false" outlineLevel="0" collapsed="false">
      <c r="A179" s="2" t="n">
        <v>178</v>
      </c>
      <c r="B179" s="2" t="s">
        <v>175</v>
      </c>
      <c r="C179" s="2" t="s">
        <v>197</v>
      </c>
      <c r="D179" s="2" t="s">
        <v>14</v>
      </c>
      <c r="E179" s="3" t="n">
        <v>7</v>
      </c>
      <c r="F179" s="4" t="n">
        <v>13</v>
      </c>
      <c r="G179" s="4" t="n">
        <v>0</v>
      </c>
      <c r="H179" s="4"/>
      <c r="I179" s="4" t="n">
        <v>0</v>
      </c>
      <c r="J179" s="4" t="n">
        <v>0</v>
      </c>
      <c r="K179" s="4" t="n">
        <v>0</v>
      </c>
      <c r="L179" s="4" t="n">
        <f aca="false">IF(COUNT(I179:K179)=0,"",SUM(I179:K179))</f>
        <v>0</v>
      </c>
    </row>
    <row r="180" customFormat="false" ht="15" hidden="false" customHeight="false" outlineLevel="0" collapsed="false">
      <c r="A180" s="2" t="n">
        <v>179</v>
      </c>
      <c r="B180" s="2" t="s">
        <v>175</v>
      </c>
      <c r="C180" s="2" t="s">
        <v>198</v>
      </c>
      <c r="D180" s="2" t="s">
        <v>14</v>
      </c>
      <c r="E180" s="3" t="n">
        <v>78</v>
      </c>
      <c r="F180" s="4" t="n">
        <v>72.7</v>
      </c>
      <c r="G180" s="4" t="n">
        <v>2.5</v>
      </c>
      <c r="H180" s="4" t="n">
        <v>0</v>
      </c>
      <c r="I180" s="4" t="n">
        <v>11.5</v>
      </c>
      <c r="J180" s="4" t="n">
        <v>9.7</v>
      </c>
      <c r="K180" s="4" t="n">
        <v>9.5</v>
      </c>
      <c r="L180" s="4" t="n">
        <f aca="false">IF(COUNT(I180:K180)=0,"",SUM(I180:K180))</f>
        <v>30.7</v>
      </c>
    </row>
    <row r="181" customFormat="false" ht="15" hidden="false" customHeight="false" outlineLevel="0" collapsed="false">
      <c r="A181" s="2" t="n">
        <v>180</v>
      </c>
      <c r="B181" s="2" t="s">
        <v>175</v>
      </c>
      <c r="C181" s="2" t="s">
        <v>199</v>
      </c>
      <c r="D181" s="2" t="s">
        <v>14</v>
      </c>
      <c r="E181" s="3" t="n">
        <v>1278</v>
      </c>
      <c r="F181" s="4" t="n">
        <v>1223.8</v>
      </c>
      <c r="G181" s="4" t="n">
        <v>39.5</v>
      </c>
      <c r="H181" s="4" t="n">
        <v>11</v>
      </c>
      <c r="I181" s="4" t="n">
        <v>190</v>
      </c>
      <c r="J181" s="4" t="n">
        <v>161</v>
      </c>
      <c r="K181" s="4" t="n">
        <v>157.8</v>
      </c>
      <c r="L181" s="4" t="n">
        <f aca="false">IF(COUNT(I181:K181)=0,"",SUM(I181:K181))</f>
        <v>508.8</v>
      </c>
    </row>
    <row r="182" customFormat="false" ht="15" hidden="false" customHeight="false" outlineLevel="0" collapsed="false">
      <c r="A182" s="2" t="n">
        <v>181</v>
      </c>
      <c r="B182" s="2" t="s">
        <v>175</v>
      </c>
      <c r="C182" s="2" t="s">
        <v>200</v>
      </c>
      <c r="D182" s="2" t="s">
        <v>14</v>
      </c>
      <c r="E182" s="3" t="n">
        <v>6</v>
      </c>
      <c r="F182" s="4" t="n">
        <v>7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f aca="false">IF(COUNT(I182:K182)=0,"",SUM(I182:K182))</f>
        <v>0</v>
      </c>
    </row>
    <row r="183" customFormat="false" ht="15" hidden="false" customHeight="false" outlineLevel="0" collapsed="false">
      <c r="A183" s="2" t="n">
        <v>182</v>
      </c>
      <c r="B183" s="2" t="s">
        <v>175</v>
      </c>
      <c r="C183" s="2" t="s">
        <v>201</v>
      </c>
      <c r="D183" s="2" t="s">
        <v>14</v>
      </c>
      <c r="E183" s="3" t="n">
        <v>111</v>
      </c>
      <c r="F183" s="4" t="n">
        <v>109.9</v>
      </c>
      <c r="G183" s="4" t="n">
        <v>0.9</v>
      </c>
      <c r="H183" s="4" t="n">
        <v>1</v>
      </c>
      <c r="I183" s="4" t="n">
        <v>4.1</v>
      </c>
      <c r="J183" s="4" t="n">
        <v>3.9</v>
      </c>
      <c r="K183" s="4" t="n">
        <v>3.9</v>
      </c>
      <c r="L183" s="4" t="n">
        <f aca="false">IF(COUNT(I183:K183)=0,"",SUM(I183:K183))</f>
        <v>11.9</v>
      </c>
    </row>
    <row r="184" customFormat="false" ht="15" hidden="false" customHeight="false" outlineLevel="0" collapsed="false">
      <c r="A184" s="2" t="n">
        <v>183</v>
      </c>
      <c r="B184" s="2" t="s">
        <v>175</v>
      </c>
      <c r="C184" s="2" t="s">
        <v>202</v>
      </c>
      <c r="D184" s="2" t="s">
        <v>14</v>
      </c>
      <c r="E184" s="3"/>
      <c r="F184" s="4" t="n">
        <v>-3.2</v>
      </c>
      <c r="G184" s="4" t="n">
        <v>1.1</v>
      </c>
      <c r="H184" s="4"/>
      <c r="I184" s="4" t="n">
        <v>5</v>
      </c>
      <c r="J184" s="4" t="n">
        <v>5</v>
      </c>
      <c r="K184" s="4" t="n">
        <v>5</v>
      </c>
      <c r="L184" s="4" t="n">
        <f aca="false">IF(COUNT(I184:K184)=0,"",SUM(I184:K184))</f>
        <v>15</v>
      </c>
    </row>
    <row r="185" customFormat="false" ht="15" hidden="false" customHeight="false" outlineLevel="0" collapsed="false">
      <c r="A185" s="2" t="n">
        <v>184</v>
      </c>
      <c r="B185" s="2" t="s">
        <v>175</v>
      </c>
      <c r="C185" s="2" t="s">
        <v>203</v>
      </c>
      <c r="D185" s="2" t="s">
        <v>14</v>
      </c>
      <c r="E185" s="3" t="n">
        <v>201</v>
      </c>
      <c r="F185" s="4" t="n">
        <v>197.8</v>
      </c>
      <c r="G185" s="4" t="n">
        <v>6.6</v>
      </c>
      <c r="H185" s="4" t="n">
        <v>7</v>
      </c>
      <c r="I185" s="4" t="n">
        <v>30</v>
      </c>
      <c r="J185" s="4" t="n">
        <v>25.9</v>
      </c>
      <c r="K185" s="4" t="n">
        <v>25.5</v>
      </c>
      <c r="L185" s="4" t="n">
        <f aca="false">IF(COUNT(I185:K185)=0,"",SUM(I185:K185))</f>
        <v>81.4</v>
      </c>
    </row>
    <row r="186" customFormat="false" ht="15" hidden="false" customHeight="false" outlineLevel="0" collapsed="false">
      <c r="A186" s="2" t="n">
        <v>185</v>
      </c>
      <c r="B186" s="2" t="s">
        <v>204</v>
      </c>
      <c r="C186" s="2" t="s">
        <v>205</v>
      </c>
      <c r="D186" s="2" t="s">
        <v>14</v>
      </c>
      <c r="E186" s="3" t="n">
        <v>23</v>
      </c>
      <c r="F186" s="4" t="n">
        <v>57.7</v>
      </c>
      <c r="G186" s="4" t="n">
        <v>2.3</v>
      </c>
      <c r="H186" s="4" t="n">
        <v>0</v>
      </c>
      <c r="I186" s="4" t="n">
        <v>10</v>
      </c>
      <c r="J186" s="4" t="n">
        <v>10</v>
      </c>
      <c r="K186" s="4" t="n">
        <v>10</v>
      </c>
      <c r="L186" s="4" t="n">
        <f aca="false">IF(COUNT(I186:K186)=0,"",SUM(I186:K186))</f>
        <v>30</v>
      </c>
    </row>
    <row r="187" customFormat="false" ht="15" hidden="false" customHeight="false" outlineLevel="0" collapsed="false">
      <c r="A187" s="2" t="n">
        <v>186</v>
      </c>
      <c r="B187" s="2" t="s">
        <v>204</v>
      </c>
      <c r="C187" s="2" t="s">
        <v>206</v>
      </c>
      <c r="D187" s="2" t="s">
        <v>14</v>
      </c>
      <c r="E187" s="3" t="n">
        <v>65</v>
      </c>
      <c r="F187" s="4" t="n">
        <v>65.3</v>
      </c>
      <c r="G187" s="4" t="n">
        <v>4.1</v>
      </c>
      <c r="H187" s="4" t="n">
        <v>7</v>
      </c>
      <c r="I187" s="4" t="n">
        <v>17</v>
      </c>
      <c r="J187" s="4" t="n">
        <v>20</v>
      </c>
      <c r="K187" s="4" t="n">
        <v>37</v>
      </c>
      <c r="L187" s="4" t="n">
        <f aca="false">IF(COUNT(I187:K187)=0,"",SUM(I187:K187))</f>
        <v>74</v>
      </c>
    </row>
    <row r="188" customFormat="false" ht="15" hidden="false" customHeight="false" outlineLevel="0" collapsed="false">
      <c r="A188" s="2" t="n">
        <v>187</v>
      </c>
      <c r="B188" s="2" t="s">
        <v>204</v>
      </c>
      <c r="C188" s="2" t="s">
        <v>207</v>
      </c>
      <c r="D188" s="2" t="s">
        <v>14</v>
      </c>
      <c r="E188" s="3" t="n">
        <v>6</v>
      </c>
      <c r="F188" s="4" t="n">
        <v>6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f aca="false">IF(COUNT(I188:K188)=0,"",SUM(I188:K188))</f>
        <v>0</v>
      </c>
    </row>
    <row r="189" customFormat="false" ht="15" hidden="false" customHeight="false" outlineLevel="0" collapsed="false">
      <c r="A189" s="2" t="n">
        <v>188</v>
      </c>
      <c r="B189" s="2" t="s">
        <v>204</v>
      </c>
      <c r="C189" s="2" t="s">
        <v>208</v>
      </c>
      <c r="D189" s="2" t="s">
        <v>14</v>
      </c>
      <c r="E189" s="3" t="n">
        <v>33</v>
      </c>
      <c r="F189" s="4" t="n">
        <v>26.5</v>
      </c>
      <c r="G189" s="4" t="n">
        <v>2.5</v>
      </c>
      <c r="H189" s="4" t="n">
        <v>0</v>
      </c>
      <c r="I189" s="4" t="n">
        <v>10</v>
      </c>
      <c r="J189" s="4" t="n">
        <v>9</v>
      </c>
      <c r="K189" s="4" t="n">
        <v>10</v>
      </c>
      <c r="L189" s="4" t="n">
        <f aca="false">IF(COUNT(I189:K189)=0,"",SUM(I189:K189))</f>
        <v>29</v>
      </c>
    </row>
    <row r="190" customFormat="false" ht="15" hidden="false" customHeight="false" outlineLevel="0" collapsed="false">
      <c r="A190" s="2" t="n">
        <v>189</v>
      </c>
      <c r="B190" s="2" t="s">
        <v>204</v>
      </c>
      <c r="C190" s="2" t="s">
        <v>209</v>
      </c>
      <c r="D190" s="2" t="s">
        <v>14</v>
      </c>
      <c r="E190" s="3"/>
      <c r="F190" s="4" t="n">
        <v>-104</v>
      </c>
      <c r="G190" s="4" t="n">
        <v>0</v>
      </c>
      <c r="H190" s="4"/>
      <c r="I190" s="4" t="n">
        <v>0</v>
      </c>
      <c r="J190" s="4" t="n">
        <v>0</v>
      </c>
      <c r="K190" s="4" t="n">
        <v>0</v>
      </c>
      <c r="L190" s="4" t="n">
        <f aca="false">IF(COUNT(I190:K190)=0,"",SUM(I190:K190))</f>
        <v>0</v>
      </c>
    </row>
    <row r="191" customFormat="false" ht="15" hidden="false" customHeight="false" outlineLevel="0" collapsed="false">
      <c r="A191" s="2" t="n">
        <v>190</v>
      </c>
      <c r="B191" s="2" t="s">
        <v>204</v>
      </c>
      <c r="C191" s="2" t="s">
        <v>210</v>
      </c>
      <c r="D191" s="2" t="s">
        <v>14</v>
      </c>
      <c r="E191" s="3" t="n">
        <v>26</v>
      </c>
      <c r="F191" s="4" t="n">
        <v>25.5</v>
      </c>
      <c r="G191" s="4" t="n">
        <v>0.2</v>
      </c>
      <c r="H191" s="4" t="n">
        <v>0</v>
      </c>
      <c r="I191" s="4" t="n">
        <v>1</v>
      </c>
      <c r="J191" s="4" t="n">
        <v>1</v>
      </c>
      <c r="K191" s="4" t="n">
        <v>1</v>
      </c>
      <c r="L191" s="4" t="n">
        <f aca="false">IF(COUNT(I191:K191)=0,"",SUM(I191:K191))</f>
        <v>3</v>
      </c>
    </row>
    <row r="192" customFormat="false" ht="15" hidden="false" customHeight="false" outlineLevel="0" collapsed="false">
      <c r="A192" s="2" t="n">
        <v>191</v>
      </c>
      <c r="B192" s="2" t="s">
        <v>204</v>
      </c>
      <c r="C192" s="2" t="s">
        <v>211</v>
      </c>
      <c r="D192" s="2" t="s">
        <v>14</v>
      </c>
      <c r="E192" s="3"/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f aca="false">IF(COUNT(I192:K192)=0,"",SUM(I192:K192))</f>
        <v>0</v>
      </c>
    </row>
    <row r="193" customFormat="false" ht="15" hidden="false" customHeight="false" outlineLevel="0" collapsed="false">
      <c r="A193" s="2" t="n">
        <v>192</v>
      </c>
      <c r="B193" s="2" t="s">
        <v>204</v>
      </c>
      <c r="C193" s="2" t="s">
        <v>212</v>
      </c>
      <c r="D193" s="2" t="s">
        <v>14</v>
      </c>
      <c r="E193" s="3" t="n">
        <v>9</v>
      </c>
      <c r="F193" s="4" t="n">
        <v>6.3</v>
      </c>
      <c r="G193" s="4" t="n">
        <v>1.1</v>
      </c>
      <c r="H193" s="4" t="n">
        <v>0</v>
      </c>
      <c r="I193" s="4" t="n">
        <v>5</v>
      </c>
      <c r="J193" s="4" t="n">
        <v>4</v>
      </c>
      <c r="K193" s="4" t="n">
        <v>6</v>
      </c>
      <c r="L193" s="4" t="n">
        <f aca="false">IF(COUNT(I193:K193)=0,"",SUM(I193:K193))</f>
        <v>15</v>
      </c>
    </row>
    <row r="194" customFormat="false" ht="15" hidden="false" customHeight="false" outlineLevel="0" collapsed="false">
      <c r="A194" s="2" t="n">
        <v>193</v>
      </c>
      <c r="B194" s="2" t="s">
        <v>204</v>
      </c>
      <c r="C194" s="2" t="s">
        <v>213</v>
      </c>
      <c r="D194" s="2" t="s">
        <v>14</v>
      </c>
      <c r="E194" s="3"/>
      <c r="F194" s="4" t="n">
        <v>0</v>
      </c>
      <c r="G194" s="4" t="n">
        <v>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f aca="false">IF(COUNT(I194:K194)=0,"",SUM(I194:K194))</f>
        <v>0</v>
      </c>
    </row>
    <row r="195" customFormat="false" ht="15" hidden="false" customHeight="false" outlineLevel="0" collapsed="false">
      <c r="A195" s="2" t="n">
        <v>194</v>
      </c>
      <c r="B195" s="2" t="s">
        <v>204</v>
      </c>
      <c r="C195" s="2" t="s">
        <v>214</v>
      </c>
      <c r="D195" s="2" t="s">
        <v>14</v>
      </c>
      <c r="E195" s="3" t="n">
        <v>17</v>
      </c>
      <c r="F195" s="4" t="n">
        <v>17.8</v>
      </c>
      <c r="G195" s="4" t="n">
        <v>1.5</v>
      </c>
      <c r="H195" s="4" t="n">
        <v>2</v>
      </c>
      <c r="I195" s="4" t="n">
        <v>7</v>
      </c>
      <c r="J195" s="4" t="n">
        <v>6</v>
      </c>
      <c r="K195" s="4" t="n">
        <v>7</v>
      </c>
      <c r="L195" s="4" t="n">
        <f aca="false">IF(COUNT(I195:K195)=0,"",SUM(I195:K195))</f>
        <v>20</v>
      </c>
    </row>
    <row r="196" customFormat="false" ht="15" hidden="false" customHeight="false" outlineLevel="0" collapsed="false">
      <c r="A196" s="2" t="n">
        <v>195</v>
      </c>
      <c r="B196" s="2" t="s">
        <v>204</v>
      </c>
      <c r="C196" s="2" t="s">
        <v>215</v>
      </c>
      <c r="D196" s="2" t="s">
        <v>14</v>
      </c>
      <c r="E196" s="3" t="n">
        <v>6</v>
      </c>
      <c r="F196" s="4" t="n">
        <v>5.5</v>
      </c>
      <c r="G196" s="4" t="n">
        <v>0.2</v>
      </c>
      <c r="H196" s="4"/>
      <c r="I196" s="4" t="n">
        <v>1</v>
      </c>
      <c r="J196" s="4" t="n">
        <v>1</v>
      </c>
      <c r="K196" s="4" t="n">
        <v>1</v>
      </c>
      <c r="L196" s="4" t="n">
        <f aca="false">IF(COUNT(I196:K196)=0,"",SUM(I196:K196))</f>
        <v>3</v>
      </c>
    </row>
    <row r="197" customFormat="false" ht="15" hidden="false" customHeight="false" outlineLevel="0" collapsed="false">
      <c r="A197" s="2" t="n">
        <v>196</v>
      </c>
      <c r="B197" s="2" t="s">
        <v>204</v>
      </c>
      <c r="C197" s="2" t="s">
        <v>216</v>
      </c>
      <c r="D197" s="2" t="s">
        <v>14</v>
      </c>
      <c r="E197" s="3" t="n">
        <v>1</v>
      </c>
      <c r="F197" s="4" t="n">
        <v>1</v>
      </c>
      <c r="G197" s="4" t="n">
        <v>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f aca="false">IF(COUNT(I197:K197)=0,"",SUM(I197:K197))</f>
        <v>0</v>
      </c>
    </row>
    <row r="198" customFormat="false" ht="15" hidden="false" customHeight="false" outlineLevel="0" collapsed="false">
      <c r="A198" s="2" t="n">
        <v>197</v>
      </c>
      <c r="B198" s="2" t="s">
        <v>204</v>
      </c>
      <c r="C198" s="2" t="s">
        <v>217</v>
      </c>
      <c r="D198" s="2" t="s">
        <v>14</v>
      </c>
      <c r="E198" s="3" t="n">
        <v>28</v>
      </c>
      <c r="F198" s="4" t="n">
        <v>24.3</v>
      </c>
      <c r="G198" s="4" t="n">
        <v>1</v>
      </c>
      <c r="H198" s="4"/>
      <c r="I198" s="4" t="n">
        <v>3</v>
      </c>
      <c r="J198" s="4" t="n">
        <v>4</v>
      </c>
      <c r="K198" s="4" t="n">
        <v>3</v>
      </c>
      <c r="L198" s="4" t="n">
        <f aca="false">IF(COUNT(I198:K198)=0,"",SUM(I198:K198))</f>
        <v>10</v>
      </c>
    </row>
    <row r="199" customFormat="false" ht="15" hidden="false" customHeight="false" outlineLevel="0" collapsed="false">
      <c r="A199" s="2" t="n">
        <v>198</v>
      </c>
      <c r="B199" s="2" t="s">
        <v>204</v>
      </c>
      <c r="C199" s="2" t="s">
        <v>218</v>
      </c>
      <c r="D199" s="2" t="s">
        <v>14</v>
      </c>
      <c r="E199" s="3"/>
      <c r="F199" s="4" t="n">
        <v>20.7</v>
      </c>
      <c r="G199" s="4" t="n">
        <v>1.8</v>
      </c>
      <c r="H199" s="4" t="n">
        <v>7</v>
      </c>
      <c r="I199" s="4" t="n">
        <v>7</v>
      </c>
      <c r="J199" s="4" t="n">
        <v>6</v>
      </c>
      <c r="K199" s="4" t="n">
        <v>10</v>
      </c>
      <c r="L199" s="4" t="n">
        <f aca="false">IF(COUNT(I199:K199)=0,"",SUM(I199:K199))</f>
        <v>23</v>
      </c>
    </row>
    <row r="200" customFormat="false" ht="15" hidden="false" customHeight="false" outlineLevel="0" collapsed="false">
      <c r="A200" s="2" t="n">
        <v>199</v>
      </c>
      <c r="B200" s="2" t="s">
        <v>204</v>
      </c>
      <c r="C200" s="2" t="s">
        <v>219</v>
      </c>
      <c r="D200" s="2" t="s">
        <v>14</v>
      </c>
      <c r="E200" s="3" t="n">
        <v>56</v>
      </c>
      <c r="F200" s="4" t="n">
        <v>54.3</v>
      </c>
      <c r="G200" s="4" t="n">
        <v>4.6</v>
      </c>
      <c r="H200" s="4" t="n">
        <v>8</v>
      </c>
      <c r="I200" s="4" t="n">
        <v>20</v>
      </c>
      <c r="J200" s="4" t="n">
        <v>20</v>
      </c>
      <c r="K200" s="4" t="n">
        <v>20</v>
      </c>
      <c r="L200" s="4" t="n">
        <f aca="false">IF(COUNT(I200:K200)=0,"",SUM(I200:K200))</f>
        <v>60</v>
      </c>
    </row>
    <row r="201" customFormat="false" ht="15" hidden="false" customHeight="false" outlineLevel="0" collapsed="false">
      <c r="A201" s="2" t="n">
        <v>200</v>
      </c>
      <c r="B201" s="2" t="s">
        <v>204</v>
      </c>
      <c r="C201" s="2" t="s">
        <v>220</v>
      </c>
      <c r="D201" s="2" t="s">
        <v>14</v>
      </c>
      <c r="E201" s="3"/>
      <c r="F201" s="4" t="n">
        <v>0</v>
      </c>
      <c r="G201" s="4" t="n">
        <v>0</v>
      </c>
      <c r="H201" s="4"/>
      <c r="I201" s="4" t="n">
        <v>0</v>
      </c>
      <c r="J201" s="4" t="n">
        <v>0</v>
      </c>
      <c r="K201" s="4" t="n">
        <v>0</v>
      </c>
      <c r="L201" s="4" t="n">
        <f aca="false">IF(COUNT(I201:K201)=0,"",SUM(I201:K201))</f>
        <v>0</v>
      </c>
    </row>
    <row r="202" customFormat="false" ht="15" hidden="false" customHeight="false" outlineLevel="0" collapsed="false">
      <c r="A202" s="2" t="n">
        <v>201</v>
      </c>
      <c r="B202" s="2" t="s">
        <v>204</v>
      </c>
      <c r="C202" s="2" t="s">
        <v>221</v>
      </c>
      <c r="D202" s="2" t="s">
        <v>14</v>
      </c>
      <c r="E202" s="3" t="n">
        <v>46</v>
      </c>
      <c r="F202" s="4" t="n">
        <v>58.3</v>
      </c>
      <c r="G202" s="4" t="n">
        <v>1.9</v>
      </c>
      <c r="H202" s="4" t="n">
        <v>4</v>
      </c>
      <c r="I202" s="4" t="n">
        <v>9</v>
      </c>
      <c r="J202" s="4" t="n">
        <v>7</v>
      </c>
      <c r="K202" s="4" t="n">
        <v>9</v>
      </c>
      <c r="L202" s="4" t="n">
        <f aca="false">IF(COUNT(I202:K202)=0,"",SUM(I202:K202))</f>
        <v>25</v>
      </c>
    </row>
    <row r="203" customFormat="false" ht="15" hidden="false" customHeight="false" outlineLevel="0" collapsed="false">
      <c r="A203" s="2" t="n">
        <v>202</v>
      </c>
      <c r="B203" s="2" t="s">
        <v>204</v>
      </c>
      <c r="C203" s="2" t="s">
        <v>222</v>
      </c>
      <c r="D203" s="2" t="s">
        <v>14</v>
      </c>
      <c r="E203" s="3"/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f aca="false">IF(COUNT(I203:K203)=0,"",SUM(I203:K203))</f>
        <v>0</v>
      </c>
    </row>
    <row r="204" customFormat="false" ht="15" hidden="false" customHeight="false" outlineLevel="0" collapsed="false">
      <c r="A204" s="2" t="n">
        <v>203</v>
      </c>
      <c r="B204" s="2" t="s">
        <v>204</v>
      </c>
      <c r="C204" s="2" t="s">
        <v>223</v>
      </c>
      <c r="D204" s="2" t="s">
        <v>14</v>
      </c>
      <c r="E204" s="3"/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f aca="false">IF(COUNT(I204:K204)=0,"",SUM(I204:K204))</f>
        <v>0</v>
      </c>
    </row>
    <row r="205" customFormat="false" ht="15" hidden="false" customHeight="false" outlineLevel="0" collapsed="false">
      <c r="A205" s="2" t="n">
        <v>204</v>
      </c>
      <c r="B205" s="2" t="s">
        <v>204</v>
      </c>
      <c r="C205" s="2" t="s">
        <v>224</v>
      </c>
      <c r="D205" s="2" t="s">
        <v>14</v>
      </c>
      <c r="E205" s="3"/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f aca="false">IF(COUNT(I205:K205)=0,"",SUM(I205:K205))</f>
        <v>0</v>
      </c>
    </row>
    <row r="206" customFormat="false" ht="15" hidden="false" customHeight="false" outlineLevel="0" collapsed="false">
      <c r="A206" s="2" t="n">
        <v>205</v>
      </c>
      <c r="B206" s="2" t="s">
        <v>204</v>
      </c>
      <c r="C206" s="2" t="s">
        <v>225</v>
      </c>
      <c r="D206" s="2" t="s">
        <v>14</v>
      </c>
      <c r="E206" s="3"/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f aca="false">IF(COUNT(I206:K206)=0,"",SUM(I206:K206))</f>
        <v>0</v>
      </c>
    </row>
    <row r="207" customFormat="false" ht="15" hidden="false" customHeight="false" outlineLevel="0" collapsed="false">
      <c r="A207" s="2" t="n">
        <v>206</v>
      </c>
      <c r="B207" s="2" t="s">
        <v>204</v>
      </c>
      <c r="C207" s="2" t="s">
        <v>226</v>
      </c>
      <c r="D207" s="2" t="s">
        <v>14</v>
      </c>
      <c r="E207" s="3"/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f aca="false">IF(COUNT(I207:K207)=0,"",SUM(I207:K207))</f>
        <v>0</v>
      </c>
    </row>
    <row r="208" customFormat="false" ht="15" hidden="false" customHeight="false" outlineLevel="0" collapsed="false">
      <c r="A208" s="2" t="n">
        <v>207</v>
      </c>
      <c r="B208" s="2" t="s">
        <v>204</v>
      </c>
      <c r="C208" s="2" t="s">
        <v>227</v>
      </c>
      <c r="D208" s="2" t="s">
        <v>14</v>
      </c>
      <c r="E208" s="3"/>
      <c r="F208" s="4"/>
      <c r="G208" s="4" t="n">
        <v>0</v>
      </c>
      <c r="H208" s="4" t="n">
        <v>0</v>
      </c>
      <c r="I208" s="4" t="n">
        <v>0</v>
      </c>
      <c r="J208" s="4"/>
      <c r="K208" s="4"/>
      <c r="L208" s="4" t="n">
        <f aca="false">IF(COUNT(I208:K208)=0,"",SUM(I208:K208))</f>
        <v>0</v>
      </c>
    </row>
    <row r="209" customFormat="false" ht="15" hidden="false" customHeight="false" outlineLevel="0" collapsed="false">
      <c r="A209" s="2" t="n">
        <v>208</v>
      </c>
      <c r="B209" s="2" t="s">
        <v>204</v>
      </c>
      <c r="C209" s="2" t="s">
        <v>228</v>
      </c>
      <c r="D209" s="2" t="s">
        <v>14</v>
      </c>
      <c r="E209" s="3"/>
      <c r="F209" s="4"/>
      <c r="G209" s="4" t="n">
        <v>0</v>
      </c>
      <c r="H209" s="4" t="n">
        <v>0</v>
      </c>
      <c r="I209" s="4" t="n">
        <v>0</v>
      </c>
      <c r="J209" s="4"/>
      <c r="K209" s="4"/>
      <c r="L209" s="4" t="n">
        <f aca="false">IF(COUNT(I209:K209)=0,"",SUM(I209:K209))</f>
        <v>0</v>
      </c>
    </row>
    <row r="210" customFormat="false" ht="15" hidden="false" customHeight="false" outlineLevel="0" collapsed="false">
      <c r="A210" s="2" t="n">
        <v>209</v>
      </c>
      <c r="B210" s="2" t="s">
        <v>229</v>
      </c>
      <c r="C210" s="2" t="s">
        <v>230</v>
      </c>
      <c r="D210" s="2" t="s">
        <v>14</v>
      </c>
      <c r="E210" s="3" t="n">
        <v>4149</v>
      </c>
      <c r="F210" s="4" t="n">
        <v>4088.9</v>
      </c>
      <c r="G210" s="4" t="n">
        <v>124.6</v>
      </c>
      <c r="H210" s="4"/>
      <c r="I210" s="4" t="n">
        <v>552.3</v>
      </c>
      <c r="J210" s="4" t="n">
        <v>468.6</v>
      </c>
      <c r="K210" s="4" t="n">
        <v>472.1</v>
      </c>
      <c r="L210" s="4" t="n">
        <f aca="false">IF(COUNT(I210:K210)=0,"",SUM(I210:K210))</f>
        <v>1493</v>
      </c>
    </row>
    <row r="211" customFormat="false" ht="15" hidden="false" customHeight="false" outlineLevel="0" collapsed="false">
      <c r="A211" s="2" t="n">
        <v>210</v>
      </c>
      <c r="B211" s="2" t="s">
        <v>229</v>
      </c>
      <c r="C211" s="2" t="s">
        <v>231</v>
      </c>
      <c r="D211" s="2" t="s">
        <v>14</v>
      </c>
      <c r="E211" s="3" t="n">
        <v>23721</v>
      </c>
      <c r="F211" s="4" t="n">
        <v>23724.7</v>
      </c>
      <c r="G211" s="4" t="n">
        <v>961.4</v>
      </c>
      <c r="H211" s="4"/>
      <c r="I211" s="4" t="n">
        <v>4261.7</v>
      </c>
      <c r="J211" s="4" t="n">
        <v>2279.6</v>
      </c>
      <c r="K211" s="4" t="n">
        <v>2296.7</v>
      </c>
      <c r="L211" s="4" t="n">
        <f aca="false">IF(COUNT(I211:K211)=0,"",SUM(I211:K211))</f>
        <v>8838</v>
      </c>
    </row>
    <row r="212" customFormat="false" ht="15" hidden="false" customHeight="false" outlineLevel="0" collapsed="false">
      <c r="A212" s="2" t="n">
        <v>211</v>
      </c>
      <c r="B212" s="2" t="s">
        <v>229</v>
      </c>
      <c r="C212" s="2" t="s">
        <v>232</v>
      </c>
      <c r="D212" s="2" t="s">
        <v>14</v>
      </c>
      <c r="E212" s="3" t="n">
        <v>1</v>
      </c>
      <c r="F212" s="4" t="n">
        <v>1027.8</v>
      </c>
      <c r="G212" s="4" t="n">
        <v>36.5</v>
      </c>
      <c r="H212" s="4"/>
      <c r="I212" s="4" t="n">
        <v>161.7</v>
      </c>
      <c r="J212" s="4" t="n">
        <v>137.2</v>
      </c>
      <c r="K212" s="4" t="n">
        <v>134.5</v>
      </c>
      <c r="L212" s="4" t="n">
        <f aca="false">IF(COUNT(I212:K212)=0,"",SUM(I212:K212))</f>
        <v>433.4</v>
      </c>
    </row>
    <row r="213" customFormat="false" ht="15" hidden="false" customHeight="false" outlineLevel="0" collapsed="false">
      <c r="A213" s="2" t="n">
        <v>212</v>
      </c>
      <c r="B213" s="2" t="s">
        <v>229</v>
      </c>
      <c r="C213" s="2" t="s">
        <v>233</v>
      </c>
      <c r="D213" s="2" t="s">
        <v>14</v>
      </c>
      <c r="E213" s="3" t="n">
        <v>2793</v>
      </c>
      <c r="F213" s="4" t="n">
        <v>2732</v>
      </c>
      <c r="G213" s="4" t="n">
        <v>206.5</v>
      </c>
      <c r="H213" s="4"/>
      <c r="I213" s="4" t="n">
        <v>915.5</v>
      </c>
      <c r="J213" s="4" t="n">
        <v>776.7</v>
      </c>
      <c r="K213" s="4" t="n">
        <v>782.6</v>
      </c>
      <c r="L213" s="4" t="n">
        <f aca="false">IF(COUNT(I213:K213)=0,"",SUM(I213:K213))</f>
        <v>2474.8</v>
      </c>
    </row>
    <row r="214" customFormat="false" ht="15" hidden="false" customHeight="false" outlineLevel="0" collapsed="false">
      <c r="A214" s="2" t="n">
        <v>213</v>
      </c>
      <c r="B214" s="2" t="s">
        <v>229</v>
      </c>
      <c r="C214" s="2" t="s">
        <v>234</v>
      </c>
      <c r="D214" s="2" t="s">
        <v>14</v>
      </c>
      <c r="E214" s="3" t="n">
        <v>163</v>
      </c>
      <c r="F214" s="4" t="n">
        <v>279.3</v>
      </c>
      <c r="G214" s="4" t="n">
        <v>25.7</v>
      </c>
      <c r="H214" s="4"/>
      <c r="I214" s="4" t="n">
        <v>114</v>
      </c>
      <c r="J214" s="4" t="n">
        <v>96.8</v>
      </c>
      <c r="K214" s="4" t="n">
        <v>94.8</v>
      </c>
      <c r="L214" s="4" t="n">
        <f aca="false">IF(COUNT(I214:K214)=0,"",SUM(I214:K214))</f>
        <v>305.6</v>
      </c>
    </row>
    <row r="215" customFormat="false" ht="15" hidden="false" customHeight="false" outlineLevel="0" collapsed="false">
      <c r="A215" s="2" t="n">
        <v>214</v>
      </c>
      <c r="B215" s="2" t="s">
        <v>229</v>
      </c>
      <c r="C215" s="2" t="s">
        <v>235</v>
      </c>
      <c r="D215" s="2" t="s">
        <v>14</v>
      </c>
      <c r="E215" s="3" t="n">
        <v>2030</v>
      </c>
      <c r="F215" s="4" t="n">
        <v>2041.3</v>
      </c>
      <c r="G215" s="4" t="n">
        <v>55.6</v>
      </c>
      <c r="H215" s="4"/>
      <c r="I215" s="4" t="n">
        <v>246.3</v>
      </c>
      <c r="J215" s="4" t="n">
        <v>209</v>
      </c>
      <c r="K215" s="4" t="n">
        <v>210.5</v>
      </c>
      <c r="L215" s="4" t="n">
        <f aca="false">IF(COUNT(I215:K215)=0,"",SUM(I215:K215))</f>
        <v>665.8</v>
      </c>
    </row>
    <row r="216" customFormat="false" ht="15" hidden="false" customHeight="false" outlineLevel="0" collapsed="false">
      <c r="A216" s="2" t="n">
        <v>215</v>
      </c>
      <c r="B216" s="2" t="s">
        <v>229</v>
      </c>
      <c r="C216" s="2" t="s">
        <v>236</v>
      </c>
      <c r="D216" s="2" t="s">
        <v>14</v>
      </c>
      <c r="E216" s="3" t="n">
        <v>697</v>
      </c>
      <c r="F216" s="4" t="n">
        <v>1021.9</v>
      </c>
      <c r="G216" s="4" t="n">
        <v>54.4</v>
      </c>
      <c r="H216" s="4"/>
      <c r="I216" s="4" t="n">
        <v>241.3</v>
      </c>
      <c r="J216" s="4" t="n">
        <v>204.7</v>
      </c>
      <c r="K216" s="4" t="n">
        <v>206.3</v>
      </c>
      <c r="L216" s="4" t="n">
        <f aca="false">IF(COUNT(I216:K216)=0,"",SUM(I216:K216))</f>
        <v>652.3</v>
      </c>
    </row>
    <row r="217" customFormat="false" ht="15" hidden="false" customHeight="false" outlineLevel="0" collapsed="false">
      <c r="A217" s="2" t="n">
        <v>216</v>
      </c>
      <c r="B217" s="2" t="s">
        <v>229</v>
      </c>
      <c r="C217" s="2" t="s">
        <v>237</v>
      </c>
      <c r="D217" s="2" t="s">
        <v>14</v>
      </c>
      <c r="E217" s="3"/>
      <c r="F217" s="4" t="n">
        <v>40.5</v>
      </c>
      <c r="G217" s="4" t="n">
        <v>10.8</v>
      </c>
      <c r="H217" s="4"/>
      <c r="I217" s="4" t="n">
        <v>47.7</v>
      </c>
      <c r="J217" s="4" t="n">
        <v>40.5</v>
      </c>
      <c r="K217" s="4" t="n">
        <v>39.7</v>
      </c>
      <c r="L217" s="4" t="n">
        <f aca="false">IF(COUNT(I217:K217)=0,"",SUM(I217:K217))</f>
        <v>127.9</v>
      </c>
    </row>
    <row r="218" customFormat="false" ht="15" hidden="false" customHeight="false" outlineLevel="0" collapsed="false">
      <c r="A218" s="2" t="n">
        <v>217</v>
      </c>
      <c r="B218" s="2" t="s">
        <v>229</v>
      </c>
      <c r="C218" s="2" t="s">
        <v>238</v>
      </c>
      <c r="D218" s="2" t="s">
        <v>14</v>
      </c>
      <c r="E218" s="3"/>
      <c r="F218" s="4" t="n">
        <v>42.1</v>
      </c>
      <c r="G218" s="4" t="n">
        <v>9.6</v>
      </c>
      <c r="H218" s="4"/>
      <c r="I218" s="4" t="n">
        <v>42.5</v>
      </c>
      <c r="J218" s="4" t="n">
        <v>36.1</v>
      </c>
      <c r="K218" s="4" t="n">
        <v>35.3</v>
      </c>
      <c r="L218" s="4" t="n">
        <f aca="false">IF(COUNT(I218:K218)=0,"",SUM(I218:K218))</f>
        <v>113.9</v>
      </c>
    </row>
    <row r="219" customFormat="false" ht="15" hidden="false" customHeight="false" outlineLevel="0" collapsed="false">
      <c r="A219" s="2" t="n">
        <v>218</v>
      </c>
      <c r="B219" s="2" t="s">
        <v>229</v>
      </c>
      <c r="C219" s="2" t="s">
        <v>239</v>
      </c>
      <c r="D219" s="2" t="s">
        <v>14</v>
      </c>
      <c r="E219" s="3" t="n">
        <v>3601</v>
      </c>
      <c r="F219" s="4" t="n">
        <v>3527.2</v>
      </c>
      <c r="G219" s="4" t="n">
        <v>184.1</v>
      </c>
      <c r="H219" s="4"/>
      <c r="I219" s="4" t="n">
        <v>816</v>
      </c>
      <c r="J219" s="4" t="n">
        <v>692.3</v>
      </c>
      <c r="K219" s="4" t="n">
        <v>697.5</v>
      </c>
      <c r="L219" s="4" t="n">
        <f aca="false">IF(COUNT(I219:K219)=0,"",SUM(I219:K219))</f>
        <v>2205.8</v>
      </c>
    </row>
    <row r="220" customFormat="false" ht="15" hidden="false" customHeight="false" outlineLevel="0" collapsed="false">
      <c r="A220" s="2" t="n">
        <v>219</v>
      </c>
      <c r="B220" s="2" t="s">
        <v>229</v>
      </c>
      <c r="C220" s="2" t="s">
        <v>240</v>
      </c>
      <c r="D220" s="2" t="s">
        <v>14</v>
      </c>
      <c r="E220" s="3" t="n">
        <v>5194</v>
      </c>
      <c r="F220" s="4" t="n">
        <v>5076.5</v>
      </c>
      <c r="G220" s="4" t="n">
        <v>187.5</v>
      </c>
      <c r="H220" s="4"/>
      <c r="I220" s="4" t="n">
        <v>830.9</v>
      </c>
      <c r="J220" s="4" t="n">
        <v>705</v>
      </c>
      <c r="K220" s="4" t="n">
        <v>710.3</v>
      </c>
      <c r="L220" s="4" t="n">
        <f aca="false">IF(COUNT(I220:K220)=0,"",SUM(I220:K220))</f>
        <v>2246.2</v>
      </c>
    </row>
    <row r="221" customFormat="false" ht="15" hidden="false" customHeight="false" outlineLevel="0" collapsed="false">
      <c r="A221" s="2" t="n">
        <v>220</v>
      </c>
      <c r="B221" s="2" t="s">
        <v>229</v>
      </c>
      <c r="C221" s="2" t="s">
        <v>241</v>
      </c>
      <c r="D221" s="2" t="s">
        <v>14</v>
      </c>
      <c r="E221" s="3" t="n">
        <v>2002</v>
      </c>
      <c r="F221" s="4" t="n">
        <v>2045</v>
      </c>
      <c r="G221" s="4" t="n">
        <v>112.2</v>
      </c>
      <c r="H221" s="4"/>
      <c r="I221" s="4" t="n">
        <v>497.6</v>
      </c>
      <c r="J221" s="4" t="n">
        <v>422.1</v>
      </c>
      <c r="K221" s="4" t="n">
        <v>425.3</v>
      </c>
      <c r="L221" s="4" t="n">
        <f aca="false">IF(COUNT(I221:K221)=0,"",SUM(I221:K221))</f>
        <v>1345</v>
      </c>
    </row>
    <row r="222" customFormat="false" ht="15" hidden="false" customHeight="false" outlineLevel="0" collapsed="false">
      <c r="A222" s="2" t="n">
        <v>221</v>
      </c>
      <c r="B222" s="2" t="s">
        <v>229</v>
      </c>
      <c r="C222" s="2" t="s">
        <v>242</v>
      </c>
      <c r="D222" s="2" t="s">
        <v>14</v>
      </c>
      <c r="E222" s="3" t="n">
        <v>18937</v>
      </c>
      <c r="F222" s="4" t="n">
        <v>18646.8</v>
      </c>
      <c r="G222" s="4" t="n">
        <v>437.8</v>
      </c>
      <c r="H222" s="4" t="n">
        <v>0</v>
      </c>
      <c r="I222" s="4" t="n">
        <v>1940.5</v>
      </c>
      <c r="J222" s="4" t="n">
        <v>3132.3</v>
      </c>
      <c r="K222" s="4" t="n">
        <v>3155.8</v>
      </c>
      <c r="L222" s="4" t="n">
        <f aca="false">IF(COUNT(I222:K222)=0,"",SUM(I222:K222))</f>
        <v>8228.6</v>
      </c>
    </row>
    <row r="223" customFormat="false" ht="15" hidden="false" customHeight="false" outlineLevel="0" collapsed="false">
      <c r="A223" s="2" t="n">
        <v>222</v>
      </c>
      <c r="B223" s="2" t="s">
        <v>229</v>
      </c>
      <c r="C223" s="2" t="s">
        <v>243</v>
      </c>
      <c r="D223" s="2" t="s">
        <v>14</v>
      </c>
      <c r="E223" s="3"/>
      <c r="F223" s="4"/>
      <c r="G223" s="4"/>
      <c r="H223" s="4"/>
      <c r="I223" s="4"/>
      <c r="J223" s="4"/>
      <c r="K223" s="4" t="n">
        <v>0</v>
      </c>
      <c r="L223" s="4" t="n">
        <f aca="false">IF(COUNT(I223:K223)=0,"",SUM(I223:K223))</f>
        <v>0</v>
      </c>
    </row>
    <row r="224" customFormat="false" ht="15" hidden="false" customHeight="false" outlineLevel="0" collapsed="false">
      <c r="A224" s="2" t="n">
        <v>223</v>
      </c>
      <c r="B224" s="2" t="s">
        <v>229</v>
      </c>
      <c r="C224" s="2" t="s">
        <v>244</v>
      </c>
      <c r="D224" s="2" t="s">
        <v>14</v>
      </c>
      <c r="E224" s="3"/>
      <c r="F224" s="4" t="n">
        <v>0</v>
      </c>
      <c r="G224" s="4" t="n">
        <v>0</v>
      </c>
      <c r="H224" s="4"/>
      <c r="I224" s="4" t="n">
        <v>0</v>
      </c>
      <c r="J224" s="4" t="n">
        <v>0</v>
      </c>
      <c r="K224" s="4" t="n">
        <v>295</v>
      </c>
      <c r="L224" s="4" t="n">
        <f aca="false">IF(COUNT(I224:K224)=0,"",SUM(I224:K224))</f>
        <v>295</v>
      </c>
    </row>
    <row r="225" customFormat="false" ht="15" hidden="false" customHeight="false" outlineLevel="0" collapsed="false">
      <c r="A225" s="2" t="n">
        <v>224</v>
      </c>
      <c r="B225" s="2" t="s">
        <v>229</v>
      </c>
      <c r="C225" s="2" t="s">
        <v>245</v>
      </c>
      <c r="D225" s="2" t="s">
        <v>14</v>
      </c>
      <c r="E225" s="3" t="n">
        <v>435</v>
      </c>
      <c r="F225" s="4" t="n">
        <v>424.6</v>
      </c>
      <c r="G225" s="4" t="n">
        <v>12.9</v>
      </c>
      <c r="H225" s="4"/>
      <c r="I225" s="4" t="n">
        <v>57.2</v>
      </c>
      <c r="J225" s="4" t="n">
        <v>48.5</v>
      </c>
      <c r="K225" s="4" t="n">
        <v>48.9</v>
      </c>
      <c r="L225" s="4" t="n">
        <f aca="false">IF(COUNT(I225:K225)=0,"",SUM(I225:K225))</f>
        <v>154.6</v>
      </c>
    </row>
    <row r="226" customFormat="false" ht="15" hidden="false" customHeight="false" outlineLevel="0" collapsed="false">
      <c r="A226" s="2" t="n">
        <v>225</v>
      </c>
      <c r="B226" s="2" t="s">
        <v>229</v>
      </c>
      <c r="C226" s="2" t="s">
        <v>246</v>
      </c>
      <c r="D226" s="2" t="s">
        <v>14</v>
      </c>
      <c r="E226" s="3" t="n">
        <v>3386</v>
      </c>
      <c r="F226" s="4" t="n">
        <v>2887.7</v>
      </c>
      <c r="G226" s="4" t="n">
        <v>230.9</v>
      </c>
      <c r="H226" s="4"/>
      <c r="I226" s="4" t="n">
        <v>740.9</v>
      </c>
      <c r="J226" s="4" t="n">
        <v>658.4</v>
      </c>
      <c r="K226" s="4" t="n">
        <v>649.3</v>
      </c>
      <c r="L226" s="4" t="n">
        <f aca="false">IF(COUNT(I226:K226)=0,"",SUM(I226:K226))</f>
        <v>2048.6</v>
      </c>
    </row>
    <row r="227" customFormat="false" ht="15" hidden="false" customHeight="false" outlineLevel="0" collapsed="false">
      <c r="A227" s="2" t="n">
        <v>226</v>
      </c>
      <c r="B227" s="2" t="s">
        <v>247</v>
      </c>
      <c r="C227" s="2" t="s">
        <v>248</v>
      </c>
      <c r="D227" s="2" t="s">
        <v>14</v>
      </c>
      <c r="E227" s="3" t="n">
        <v>1008</v>
      </c>
      <c r="F227" s="4" t="n">
        <v>1060.4</v>
      </c>
      <c r="G227" s="4" t="n">
        <v>23.9</v>
      </c>
      <c r="H227" s="4" t="n">
        <v>28</v>
      </c>
      <c r="I227" s="4" t="n">
        <v>105</v>
      </c>
      <c r="J227" s="4" t="n">
        <v>105</v>
      </c>
      <c r="K227" s="4" t="n">
        <v>105</v>
      </c>
      <c r="L227" s="4" t="n">
        <f aca="false">IF(COUNT(I227:K227)=0,"",SUM(I227:K227))</f>
        <v>315</v>
      </c>
    </row>
    <row r="228" customFormat="false" ht="15" hidden="false" customHeight="false" outlineLevel="0" collapsed="false">
      <c r="A228" s="2" t="n">
        <v>227</v>
      </c>
      <c r="B228" s="2" t="s">
        <v>247</v>
      </c>
      <c r="C228" s="2" t="s">
        <v>249</v>
      </c>
      <c r="D228" s="2" t="s">
        <v>14</v>
      </c>
      <c r="E228" s="3" t="n">
        <v>373</v>
      </c>
      <c r="F228" s="4" t="n">
        <v>371.3</v>
      </c>
      <c r="G228" s="4" t="n">
        <v>11.4</v>
      </c>
      <c r="H228" s="4" t="n">
        <v>11</v>
      </c>
      <c r="I228" s="4" t="n">
        <v>50</v>
      </c>
      <c r="J228" s="4" t="n">
        <v>50</v>
      </c>
      <c r="K228" s="4" t="n">
        <v>50</v>
      </c>
      <c r="L228" s="4" t="n">
        <f aca="false">IF(COUNT(I228:K228)=0,"",SUM(I228:K228))</f>
        <v>150</v>
      </c>
    </row>
    <row r="229" customFormat="false" ht="15" hidden="false" customHeight="false" outlineLevel="0" collapsed="false">
      <c r="A229" s="2" t="n">
        <v>228</v>
      </c>
      <c r="B229" s="2" t="s">
        <v>247</v>
      </c>
      <c r="C229" s="2" t="s">
        <v>250</v>
      </c>
      <c r="D229" s="2" t="s">
        <v>14</v>
      </c>
      <c r="E229" s="3"/>
      <c r="F229" s="4" t="n">
        <v>5620.7</v>
      </c>
      <c r="G229" s="4" t="n">
        <v>230.9</v>
      </c>
      <c r="H229" s="4"/>
      <c r="I229" s="4" t="n">
        <v>740.9</v>
      </c>
      <c r="J229" s="4" t="n">
        <v>658.4</v>
      </c>
      <c r="K229" s="4" t="n">
        <v>649.3</v>
      </c>
      <c r="L229" s="4" t="n">
        <f aca="false">IF(COUNT(I229:K229)=0,"",SUM(I229:K229))</f>
        <v>2048.6</v>
      </c>
    </row>
    <row r="230" customFormat="false" ht="15" hidden="false" customHeight="false" outlineLevel="0" collapsed="false">
      <c r="A230" s="2" t="n">
        <v>229</v>
      </c>
      <c r="B230" s="2" t="s">
        <v>247</v>
      </c>
      <c r="C230" s="2" t="s">
        <v>251</v>
      </c>
      <c r="D230" s="2" t="s">
        <v>14</v>
      </c>
      <c r="E230" s="3" t="n">
        <v>8523</v>
      </c>
      <c r="F230" s="4" t="n">
        <v>8688.8</v>
      </c>
      <c r="G230" s="4" t="n">
        <v>195.4</v>
      </c>
      <c r="H230" s="4" t="n">
        <v>180</v>
      </c>
      <c r="I230" s="4" t="n">
        <v>880.4</v>
      </c>
      <c r="J230" s="4" t="n">
        <v>758.6</v>
      </c>
      <c r="K230" s="4" t="n">
        <v>736.4</v>
      </c>
      <c r="L230" s="4" t="n">
        <f aca="false">IF(COUNT(I230:K230)=0,"",SUM(I230:K230))</f>
        <v>2375.4</v>
      </c>
    </row>
    <row r="231" customFormat="false" ht="15" hidden="false" customHeight="false" outlineLevel="0" collapsed="false">
      <c r="A231" s="2" t="n">
        <v>230</v>
      </c>
      <c r="B231" s="2" t="s">
        <v>247</v>
      </c>
      <c r="C231" s="2" t="s">
        <v>252</v>
      </c>
      <c r="D231" s="2" t="s">
        <v>14</v>
      </c>
      <c r="E231" s="3"/>
      <c r="F231" s="4" t="n">
        <v>0</v>
      </c>
      <c r="G231" s="4" t="n">
        <v>0</v>
      </c>
      <c r="H231" s="4"/>
      <c r="I231" s="4" t="n">
        <v>0</v>
      </c>
      <c r="J231" s="4" t="n">
        <v>0</v>
      </c>
      <c r="K231" s="4" t="n">
        <v>197</v>
      </c>
      <c r="L231" s="4" t="n">
        <f aca="false">IF(COUNT(I231:K231)=0,"",SUM(I231:K231))</f>
        <v>197</v>
      </c>
    </row>
    <row r="232" customFormat="false" ht="15" hidden="false" customHeight="false" outlineLevel="0" collapsed="false">
      <c r="A232" s="2" t="n">
        <v>231</v>
      </c>
      <c r="B232" s="2" t="s">
        <v>247</v>
      </c>
      <c r="C232" s="2" t="s">
        <v>253</v>
      </c>
      <c r="D232" s="2" t="s">
        <v>14</v>
      </c>
      <c r="E232" s="3"/>
      <c r="F232" s="4" t="n">
        <v>0</v>
      </c>
      <c r="G232" s="4" t="n">
        <v>0</v>
      </c>
      <c r="H232" s="4"/>
      <c r="I232" s="4" t="n">
        <v>0</v>
      </c>
      <c r="J232" s="4" t="n">
        <v>0</v>
      </c>
      <c r="K232" s="4" t="n">
        <v>98</v>
      </c>
      <c r="L232" s="4" t="n">
        <f aca="false">IF(COUNT(I232:K232)=0,"",SUM(I232:K232))</f>
        <v>98</v>
      </c>
    </row>
    <row r="233" customFormat="false" ht="15" hidden="false" customHeight="false" outlineLevel="0" collapsed="false">
      <c r="A233" s="2" t="n">
        <v>232</v>
      </c>
      <c r="B233" s="2" t="s">
        <v>247</v>
      </c>
      <c r="C233" s="2" t="s">
        <v>254</v>
      </c>
      <c r="D233" s="2" t="s">
        <v>14</v>
      </c>
      <c r="E233" s="3" t="n">
        <v>1660</v>
      </c>
      <c r="F233" s="4" t="n">
        <v>1672.2</v>
      </c>
      <c r="G233" s="4" t="n">
        <v>76.6</v>
      </c>
      <c r="H233" s="4"/>
      <c r="I233" s="4" t="n">
        <v>347.3</v>
      </c>
      <c r="J233" s="4" t="n">
        <v>302</v>
      </c>
      <c r="K233" s="4" t="n">
        <v>297</v>
      </c>
      <c r="L233" s="4" t="n">
        <f aca="false">IF(COUNT(I233:K233)=0,"",SUM(I233:K233))</f>
        <v>946.3</v>
      </c>
    </row>
    <row r="234" customFormat="false" ht="15" hidden="false" customHeight="false" outlineLevel="0" collapsed="false">
      <c r="A234" s="2" t="n">
        <v>233</v>
      </c>
      <c r="B234" s="2" t="s">
        <v>247</v>
      </c>
      <c r="C234" s="2" t="s">
        <v>255</v>
      </c>
      <c r="D234" s="2" t="s">
        <v>14</v>
      </c>
      <c r="E234" s="3" t="n">
        <v>371</v>
      </c>
      <c r="F234" s="4" t="n">
        <v>537.4</v>
      </c>
      <c r="G234" s="4" t="n">
        <v>5</v>
      </c>
      <c r="H234" s="4" t="n">
        <v>5</v>
      </c>
      <c r="I234" s="4" t="n">
        <v>22.5</v>
      </c>
      <c r="J234" s="4" t="n">
        <v>19.5</v>
      </c>
      <c r="K234" s="4" t="n">
        <v>19.2</v>
      </c>
      <c r="L234" s="4" t="n">
        <f aca="false">IF(COUNT(I234:K234)=0,"",SUM(I234:K234))</f>
        <v>61.2</v>
      </c>
    </row>
    <row r="235" customFormat="false" ht="15" hidden="false" customHeight="false" outlineLevel="0" collapsed="false">
      <c r="A235" s="2" t="n">
        <v>234</v>
      </c>
      <c r="B235" s="2" t="s">
        <v>247</v>
      </c>
      <c r="C235" s="2" t="s">
        <v>256</v>
      </c>
      <c r="D235" s="2" t="s">
        <v>14</v>
      </c>
      <c r="E235" s="3" t="n">
        <v>1094</v>
      </c>
      <c r="F235" s="4" t="n">
        <v>1086.8</v>
      </c>
      <c r="G235" s="4" t="n">
        <v>7.6</v>
      </c>
      <c r="H235" s="4" t="n">
        <v>5</v>
      </c>
      <c r="I235" s="4" t="n">
        <v>34.4</v>
      </c>
      <c r="J235" s="4" t="n">
        <v>29.6</v>
      </c>
      <c r="K235" s="4" t="n">
        <v>29.1</v>
      </c>
      <c r="L235" s="4" t="n">
        <f aca="false">IF(COUNT(I235:K235)=0,"",SUM(I235:K235))</f>
        <v>93.1</v>
      </c>
    </row>
    <row r="236" customFormat="false" ht="15" hidden="false" customHeight="false" outlineLevel="0" collapsed="false">
      <c r="A236" s="2" t="n">
        <v>235</v>
      </c>
      <c r="B236" s="2" t="s">
        <v>247</v>
      </c>
      <c r="C236" s="2" t="s">
        <v>257</v>
      </c>
      <c r="D236" s="2" t="s">
        <v>14</v>
      </c>
      <c r="E236" s="3" t="n">
        <v>1749</v>
      </c>
      <c r="F236" s="4" t="n">
        <v>1741.1</v>
      </c>
      <c r="G236" s="4" t="n">
        <v>40.3</v>
      </c>
      <c r="H236" s="4" t="n">
        <v>35</v>
      </c>
      <c r="I236" s="4" t="n">
        <v>182.5</v>
      </c>
      <c r="J236" s="4" t="n">
        <v>159.3</v>
      </c>
      <c r="K236" s="4" t="n">
        <v>146.7</v>
      </c>
      <c r="L236" s="4" t="n">
        <f aca="false">IF(COUNT(I236:K236)=0,"",SUM(I236:K236))</f>
        <v>488.5</v>
      </c>
    </row>
    <row r="237" customFormat="false" ht="15" hidden="false" customHeight="false" outlineLevel="0" collapsed="false">
      <c r="A237" s="2" t="n">
        <v>236</v>
      </c>
      <c r="B237" s="2" t="s">
        <v>247</v>
      </c>
      <c r="C237" s="2" t="s">
        <v>258</v>
      </c>
      <c r="D237" s="2" t="s">
        <v>14</v>
      </c>
      <c r="E237" s="3" t="n">
        <v>7748</v>
      </c>
      <c r="F237" s="4" t="n">
        <v>8064.1</v>
      </c>
      <c r="G237" s="4" t="n">
        <v>655.3</v>
      </c>
      <c r="H237" s="4" t="n">
        <v>942</v>
      </c>
      <c r="I237" s="4" t="n">
        <v>2984.7</v>
      </c>
      <c r="J237" s="4" t="n">
        <v>2538.5</v>
      </c>
      <c r="K237" s="4" t="n">
        <v>2479.6</v>
      </c>
      <c r="L237" s="4" t="n">
        <f aca="false">IF(COUNT(I237:K237)=0,"",SUM(I237:K237))</f>
        <v>8002.8</v>
      </c>
    </row>
    <row r="238" customFormat="false" ht="15" hidden="false" customHeight="false" outlineLevel="0" collapsed="false">
      <c r="A238" s="2" t="n">
        <v>237</v>
      </c>
      <c r="B238" s="2" t="s">
        <v>247</v>
      </c>
      <c r="C238" s="2" t="s">
        <v>259</v>
      </c>
      <c r="D238" s="2" t="s">
        <v>14</v>
      </c>
      <c r="E238" s="3" t="n">
        <v>3231</v>
      </c>
      <c r="F238" s="4" t="n">
        <v>3228.1</v>
      </c>
      <c r="G238" s="4" t="n">
        <v>32.4</v>
      </c>
      <c r="H238" s="4" t="n">
        <v>30</v>
      </c>
      <c r="I238" s="4" t="n">
        <v>147.6</v>
      </c>
      <c r="J238" s="4" t="n">
        <v>125.7</v>
      </c>
      <c r="K238" s="4" t="n">
        <v>123.3</v>
      </c>
      <c r="L238" s="4" t="n">
        <f aca="false">IF(COUNT(I238:K238)=0,"",SUM(I238:K238))</f>
        <v>396.6</v>
      </c>
    </row>
    <row r="239" customFormat="false" ht="15" hidden="false" customHeight="false" outlineLevel="0" collapsed="false">
      <c r="A239" s="2" t="n">
        <v>238</v>
      </c>
      <c r="B239" s="2" t="s">
        <v>247</v>
      </c>
      <c r="C239" s="2" t="s">
        <v>260</v>
      </c>
      <c r="D239" s="2" t="s">
        <v>14</v>
      </c>
      <c r="E239" s="3" t="n">
        <v>7394</v>
      </c>
      <c r="F239" s="4" t="n">
        <v>7216.4</v>
      </c>
      <c r="G239" s="4" t="n">
        <v>219.8</v>
      </c>
      <c r="H239" s="4" t="n">
        <v>170</v>
      </c>
      <c r="I239" s="4" t="n">
        <v>1001.3</v>
      </c>
      <c r="J239" s="4" t="n">
        <v>851.6</v>
      </c>
      <c r="K239" s="4" t="n">
        <v>825.2</v>
      </c>
      <c r="L239" s="4" t="n">
        <f aca="false">IF(COUNT(I239:K239)=0,"",SUM(I239:K239))</f>
        <v>2678.1</v>
      </c>
    </row>
    <row r="240" customFormat="false" ht="15" hidden="false" customHeight="false" outlineLevel="0" collapsed="false">
      <c r="A240" s="2" t="n">
        <v>239</v>
      </c>
      <c r="B240" s="2" t="s">
        <v>247</v>
      </c>
      <c r="C240" s="2" t="s">
        <v>261</v>
      </c>
      <c r="D240" s="2" t="s">
        <v>14</v>
      </c>
      <c r="E240" s="3" t="n">
        <v>1971</v>
      </c>
      <c r="F240" s="4" t="n">
        <v>1959.2</v>
      </c>
      <c r="G240" s="4" t="n">
        <v>15.8</v>
      </c>
      <c r="H240" s="4" t="n">
        <v>16</v>
      </c>
      <c r="I240" s="4" t="n">
        <v>72</v>
      </c>
      <c r="J240" s="4" t="n">
        <v>61.8</v>
      </c>
      <c r="K240" s="4" t="n">
        <v>60.7</v>
      </c>
      <c r="L240" s="4" t="n">
        <f aca="false">IF(COUNT(I240:K240)=0,"",SUM(I240:K240))</f>
        <v>194.5</v>
      </c>
    </row>
    <row r="241" customFormat="false" ht="15" hidden="false" customHeight="false" outlineLevel="0" collapsed="false">
      <c r="A241" s="2" t="n">
        <v>240</v>
      </c>
      <c r="B241" s="2" t="s">
        <v>247</v>
      </c>
      <c r="C241" s="2" t="s">
        <v>262</v>
      </c>
      <c r="D241" s="2" t="s">
        <v>14</v>
      </c>
      <c r="E241" s="3"/>
      <c r="F241" s="4" t="n">
        <v>0</v>
      </c>
      <c r="G241" s="4" t="n">
        <v>0</v>
      </c>
      <c r="H241" s="4"/>
      <c r="I241" s="4" t="n">
        <v>0</v>
      </c>
      <c r="J241" s="4" t="n">
        <v>0</v>
      </c>
      <c r="K241" s="4" t="n">
        <v>0</v>
      </c>
      <c r="L241" s="4" t="n">
        <f aca="false">IF(COUNT(I241:K241)=0,"",SUM(I241:K241))</f>
        <v>0</v>
      </c>
    </row>
    <row r="242" customFormat="false" ht="15" hidden="false" customHeight="false" outlineLevel="0" collapsed="false">
      <c r="A242" s="2" t="n">
        <v>241</v>
      </c>
      <c r="B242" s="2" t="s">
        <v>247</v>
      </c>
      <c r="C242" s="2" t="s">
        <v>263</v>
      </c>
      <c r="D242" s="2" t="s">
        <v>14</v>
      </c>
      <c r="E242" s="3" t="n">
        <v>336</v>
      </c>
      <c r="F242" s="4" t="n">
        <v>336</v>
      </c>
      <c r="G242" s="4" t="n">
        <v>0</v>
      </c>
      <c r="H242" s="4"/>
      <c r="I242" s="4" t="n">
        <v>0</v>
      </c>
      <c r="J242" s="4" t="n">
        <v>0</v>
      </c>
      <c r="K242" s="4" t="n">
        <v>0</v>
      </c>
      <c r="L242" s="4" t="n">
        <f aca="false">IF(COUNT(I242:K242)=0,"",SUM(I242:K242))</f>
        <v>0</v>
      </c>
    </row>
    <row r="243" customFormat="false" ht="15" hidden="false" customHeight="false" outlineLevel="0" collapsed="false">
      <c r="A243" s="2" t="n">
        <v>242</v>
      </c>
      <c r="B243" s="2" t="s">
        <v>247</v>
      </c>
      <c r="C243" s="2" t="s">
        <v>264</v>
      </c>
      <c r="D243" s="2" t="s">
        <v>14</v>
      </c>
      <c r="E243" s="3" t="n">
        <v>336</v>
      </c>
      <c r="F243" s="4" t="n">
        <v>336</v>
      </c>
      <c r="G243" s="4" t="n">
        <v>0</v>
      </c>
      <c r="H243" s="4"/>
      <c r="I243" s="4" t="n">
        <v>0</v>
      </c>
      <c r="J243" s="4" t="n">
        <v>0</v>
      </c>
      <c r="K243" s="4" t="n">
        <v>0</v>
      </c>
      <c r="L243" s="4" t="n">
        <f aca="false">IF(COUNT(I243:K243)=0,"",SUM(I243:K243))</f>
        <v>0</v>
      </c>
    </row>
    <row r="244" customFormat="false" ht="15" hidden="false" customHeight="false" outlineLevel="0" collapsed="false">
      <c r="A244" s="2" t="n">
        <v>243</v>
      </c>
      <c r="B244" s="2" t="s">
        <v>247</v>
      </c>
      <c r="C244" s="2" t="s">
        <v>265</v>
      </c>
      <c r="D244" s="2" t="s">
        <v>14</v>
      </c>
      <c r="E244" s="3" t="n">
        <v>1461</v>
      </c>
      <c r="F244" s="4" t="n">
        <v>1621.7</v>
      </c>
      <c r="G244" s="4" t="n">
        <v>20.7</v>
      </c>
      <c r="H244" s="4"/>
      <c r="I244" s="4" t="n">
        <v>94</v>
      </c>
      <c r="J244" s="4" t="n">
        <v>79.8</v>
      </c>
      <c r="K244" s="4" t="n">
        <v>78.2</v>
      </c>
      <c r="L244" s="4" t="n">
        <f aca="false">IF(COUNT(I244:K244)=0,"",SUM(I244:K244))</f>
        <v>252</v>
      </c>
    </row>
    <row r="245" customFormat="false" ht="15" hidden="false" customHeight="false" outlineLevel="0" collapsed="false">
      <c r="A245" s="2" t="n">
        <v>244</v>
      </c>
      <c r="B245" s="2" t="s">
        <v>247</v>
      </c>
      <c r="C245" s="2" t="s">
        <v>266</v>
      </c>
      <c r="D245" s="2" t="s">
        <v>14</v>
      </c>
      <c r="E245" s="3" t="n">
        <v>1760</v>
      </c>
      <c r="F245" s="4" t="n">
        <v>1706.7</v>
      </c>
      <c r="G245" s="4" t="n">
        <v>68</v>
      </c>
      <c r="H245" s="4"/>
      <c r="I245" s="4" t="n">
        <v>380</v>
      </c>
      <c r="J245" s="4" t="n">
        <v>440</v>
      </c>
      <c r="K245" s="4" t="n">
        <v>660</v>
      </c>
      <c r="L245" s="4" t="n">
        <f aca="false">IF(COUNT(I245:K245)=0,"",SUM(I245:K245))</f>
        <v>1480</v>
      </c>
    </row>
    <row r="246" customFormat="false" ht="15" hidden="false" customHeight="false" outlineLevel="0" collapsed="false">
      <c r="A246" s="2" t="n">
        <v>245</v>
      </c>
      <c r="B246" s="2" t="s">
        <v>247</v>
      </c>
      <c r="C246" s="2" t="s">
        <v>267</v>
      </c>
      <c r="D246" s="2" t="s">
        <v>14</v>
      </c>
      <c r="E246" s="3" t="n">
        <v>3912</v>
      </c>
      <c r="F246" s="4" t="n">
        <v>4052.1</v>
      </c>
      <c r="G246" s="4" t="n">
        <v>89.1</v>
      </c>
      <c r="H246" s="4"/>
      <c r="I246" s="4" t="n">
        <v>392.9</v>
      </c>
      <c r="J246" s="4" t="n">
        <v>372.9</v>
      </c>
      <c r="K246" s="4" t="n">
        <v>370.7</v>
      </c>
      <c r="L246" s="4" t="n">
        <f aca="false">IF(COUNT(I246:K246)=0,"",SUM(I246:K246))</f>
        <v>1136.5</v>
      </c>
    </row>
    <row r="247" customFormat="false" ht="15" hidden="false" customHeight="false" outlineLevel="0" collapsed="false">
      <c r="A247" s="2" t="n">
        <v>246</v>
      </c>
      <c r="B247" s="2" t="s">
        <v>247</v>
      </c>
      <c r="C247" s="2" t="s">
        <v>268</v>
      </c>
      <c r="D247" s="2" t="s">
        <v>14</v>
      </c>
      <c r="E247" s="3" t="n">
        <v>2383</v>
      </c>
      <c r="F247" s="4" t="n">
        <v>2231.7</v>
      </c>
      <c r="G247" s="4" t="n">
        <v>184.5</v>
      </c>
      <c r="H247" s="4"/>
      <c r="I247" s="4" t="n">
        <v>780</v>
      </c>
      <c r="J247" s="4" t="n">
        <v>530</v>
      </c>
      <c r="K247" s="4" t="n">
        <v>680</v>
      </c>
      <c r="L247" s="4" t="n">
        <f aca="false">IF(COUNT(I247:K247)=0,"",SUM(I247:K247))</f>
        <v>1990</v>
      </c>
    </row>
    <row r="248" customFormat="false" ht="15" hidden="false" customHeight="false" outlineLevel="0" collapsed="false">
      <c r="A248" s="2" t="n">
        <v>247</v>
      </c>
      <c r="B248" s="2" t="s">
        <v>247</v>
      </c>
      <c r="C248" s="2" t="s">
        <v>269</v>
      </c>
      <c r="D248" s="2" t="s">
        <v>14</v>
      </c>
      <c r="E248" s="3" t="n">
        <v>2492</v>
      </c>
      <c r="F248" s="4" t="n">
        <v>2246</v>
      </c>
      <c r="G248" s="4" t="n">
        <v>137.5</v>
      </c>
      <c r="H248" s="4"/>
      <c r="I248" s="4" t="n">
        <v>530</v>
      </c>
      <c r="J248" s="4" t="n">
        <v>680</v>
      </c>
      <c r="K248" s="4" t="n">
        <v>630</v>
      </c>
      <c r="L248" s="4" t="n">
        <f aca="false">IF(COUNT(I248:K248)=0,"",SUM(I248:K248))</f>
        <v>1840</v>
      </c>
    </row>
    <row r="249" customFormat="false" ht="15" hidden="false" customHeight="false" outlineLevel="0" collapsed="false">
      <c r="A249" s="2" t="n">
        <v>248</v>
      </c>
      <c r="B249" s="2" t="s">
        <v>247</v>
      </c>
      <c r="C249" s="2" t="s">
        <v>270</v>
      </c>
      <c r="D249" s="2" t="s">
        <v>14</v>
      </c>
      <c r="E249" s="3" t="n">
        <v>2433</v>
      </c>
      <c r="F249" s="4" t="n">
        <v>2185</v>
      </c>
      <c r="G249" s="4" t="n">
        <v>137.5</v>
      </c>
      <c r="H249" s="4"/>
      <c r="I249" s="4" t="n">
        <v>530</v>
      </c>
      <c r="J249" s="4" t="n">
        <v>680</v>
      </c>
      <c r="K249" s="4" t="n">
        <v>630</v>
      </c>
      <c r="L249" s="4" t="n">
        <f aca="false">IF(COUNT(I249:K249)=0,"",SUM(I249:K249))</f>
        <v>1840</v>
      </c>
    </row>
    <row r="250" customFormat="false" ht="15" hidden="false" customHeight="false" outlineLevel="0" collapsed="false">
      <c r="A250" s="2" t="n">
        <v>249</v>
      </c>
      <c r="B250" s="2" t="s">
        <v>247</v>
      </c>
      <c r="C250" s="2" t="s">
        <v>271</v>
      </c>
      <c r="D250" s="2" t="s">
        <v>14</v>
      </c>
      <c r="E250" s="3" t="n">
        <v>2035</v>
      </c>
      <c r="F250" s="4" t="n">
        <v>1853.3</v>
      </c>
      <c r="G250" s="4" t="n">
        <v>96.3</v>
      </c>
      <c r="H250" s="4"/>
      <c r="I250" s="4" t="n">
        <v>440</v>
      </c>
      <c r="J250" s="4" t="n">
        <v>660</v>
      </c>
      <c r="K250" s="4" t="n">
        <v>560</v>
      </c>
      <c r="L250" s="4" t="n">
        <f aca="false">IF(COUNT(I250:K250)=0,"",SUM(I250:K250))</f>
        <v>1660</v>
      </c>
    </row>
    <row r="251" customFormat="false" ht="15" hidden="false" customHeight="false" outlineLevel="0" collapsed="false">
      <c r="A251" s="2" t="n">
        <v>250</v>
      </c>
      <c r="B251" s="2" t="s">
        <v>247</v>
      </c>
      <c r="C251" s="2" t="s">
        <v>272</v>
      </c>
      <c r="D251" s="2" t="s">
        <v>14</v>
      </c>
      <c r="E251" s="3" t="n">
        <v>2036</v>
      </c>
      <c r="F251" s="4" t="n">
        <v>1854.3</v>
      </c>
      <c r="G251" s="4" t="n">
        <v>96.3</v>
      </c>
      <c r="H251" s="4"/>
      <c r="I251" s="4" t="n">
        <v>440</v>
      </c>
      <c r="J251" s="4" t="n">
        <v>660</v>
      </c>
      <c r="K251" s="4" t="n">
        <v>560</v>
      </c>
      <c r="L251" s="4" t="n">
        <f aca="false">IF(COUNT(I251:K251)=0,"",SUM(I251:K251))</f>
        <v>1660</v>
      </c>
    </row>
    <row r="252" customFormat="false" ht="15" hidden="false" customHeight="false" outlineLevel="0" collapsed="false">
      <c r="A252" s="2" t="n">
        <v>251</v>
      </c>
      <c r="B252" s="2" t="s">
        <v>247</v>
      </c>
      <c r="C252" s="2" t="s">
        <v>273</v>
      </c>
      <c r="D252" s="2" t="s">
        <v>14</v>
      </c>
      <c r="E252" s="3" t="n">
        <v>18</v>
      </c>
      <c r="F252" s="4" t="n">
        <v>18</v>
      </c>
      <c r="G252" s="4" t="n">
        <v>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f aca="false">IF(COUNT(I252:K252)=0,"",SUM(I252:K252))</f>
        <v>0</v>
      </c>
    </row>
    <row r="253" customFormat="false" ht="15" hidden="false" customHeight="false" outlineLevel="0" collapsed="false">
      <c r="A253" s="2" t="n">
        <v>252</v>
      </c>
      <c r="B253" s="2" t="s">
        <v>247</v>
      </c>
      <c r="C253" s="2" t="s">
        <v>274</v>
      </c>
      <c r="D253" s="2" t="s">
        <v>14</v>
      </c>
      <c r="E253" s="3" t="n">
        <v>1206</v>
      </c>
      <c r="F253" s="4" t="n">
        <v>1189.3</v>
      </c>
      <c r="G253" s="4" t="n">
        <v>31.5</v>
      </c>
      <c r="H253" s="4" t="n">
        <v>23</v>
      </c>
      <c r="I253" s="4" t="n">
        <v>143.6</v>
      </c>
      <c r="J253" s="4" t="n">
        <v>121.7</v>
      </c>
      <c r="K253" s="4" t="n">
        <v>119.3</v>
      </c>
      <c r="L253" s="4" t="n">
        <f aca="false">IF(COUNT(I253:K253)=0,"",SUM(I253:K253))</f>
        <v>384.6</v>
      </c>
    </row>
    <row r="254" customFormat="false" ht="15" hidden="false" customHeight="false" outlineLevel="0" collapsed="false">
      <c r="A254" s="2" t="n">
        <v>253</v>
      </c>
      <c r="B254" s="2" t="s">
        <v>247</v>
      </c>
      <c r="C254" s="2" t="s">
        <v>275</v>
      </c>
      <c r="D254" s="2" t="s">
        <v>14</v>
      </c>
      <c r="E254" s="3" t="n">
        <v>56</v>
      </c>
      <c r="F254" s="4" t="n">
        <v>38</v>
      </c>
      <c r="G254" s="4" t="n">
        <v>6.4</v>
      </c>
      <c r="H254" s="4" t="n">
        <v>9</v>
      </c>
      <c r="I254" s="4" t="n">
        <v>3</v>
      </c>
      <c r="J254" s="4" t="n">
        <v>3</v>
      </c>
      <c r="K254" s="4" t="n">
        <v>3</v>
      </c>
      <c r="L254" s="4" t="n">
        <f aca="false">IF(COUNT(I254:K254)=0,"",SUM(I254:K254))</f>
        <v>9</v>
      </c>
    </row>
    <row r="255" customFormat="false" ht="15" hidden="false" customHeight="false" outlineLevel="0" collapsed="false">
      <c r="A255" s="2" t="n">
        <v>254</v>
      </c>
      <c r="B255" s="2" t="s">
        <v>247</v>
      </c>
      <c r="C255" s="2" t="s">
        <v>276</v>
      </c>
      <c r="D255" s="2" t="s">
        <v>14</v>
      </c>
      <c r="E255" s="3" t="n">
        <v>1732</v>
      </c>
      <c r="F255" s="4" t="n">
        <v>1725.1</v>
      </c>
      <c r="G255" s="4" t="n">
        <v>20</v>
      </c>
      <c r="H255" s="4" t="n">
        <v>0</v>
      </c>
      <c r="I255" s="4" t="n">
        <v>117</v>
      </c>
      <c r="J255" s="4" t="n">
        <v>99.2</v>
      </c>
      <c r="K255" s="4" t="n">
        <v>97.2</v>
      </c>
      <c r="L255" s="4" t="n">
        <f aca="false">IF(COUNT(I255:K255)=0,"",SUM(I255:K255))</f>
        <v>313.4</v>
      </c>
    </row>
    <row r="256" customFormat="false" ht="15" hidden="false" customHeight="false" outlineLevel="0" collapsed="false">
      <c r="A256" s="5" t="n">
        <v>255</v>
      </c>
      <c r="B256" s="5" t="s">
        <v>247</v>
      </c>
      <c r="C256" s="5" t="s">
        <v>277</v>
      </c>
      <c r="D256" s="5" t="s">
        <v>98</v>
      </c>
      <c r="E256" s="6"/>
      <c r="F256" s="7" t="n">
        <v>24</v>
      </c>
      <c r="G256" s="7" t="n">
        <v>0</v>
      </c>
      <c r="H256" s="7"/>
      <c r="I256" s="7" t="n">
        <v>0</v>
      </c>
      <c r="J256" s="7" t="n">
        <v>0</v>
      </c>
      <c r="K256" s="7" t="n">
        <v>0</v>
      </c>
      <c r="L256" s="7" t="n">
        <f aca="false">IF(COUNT(I256:K256)=0,"",SUM(I256:K256))</f>
        <v>0</v>
      </c>
    </row>
    <row r="257" customFormat="false" ht="15" hidden="false" customHeight="false" outlineLevel="0" collapsed="false">
      <c r="A257" s="2" t="n">
        <v>256</v>
      </c>
      <c r="B257" s="2" t="s">
        <v>247</v>
      </c>
      <c r="C257" s="2" t="s">
        <v>278</v>
      </c>
      <c r="D257" s="2" t="s">
        <v>14</v>
      </c>
      <c r="E257" s="3"/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f aca="false">IF(COUNT(I257:K257)=0,"",SUM(I257:K257))</f>
        <v>0</v>
      </c>
    </row>
    <row r="258" customFormat="false" ht="15" hidden="false" customHeight="false" outlineLevel="0" collapsed="false">
      <c r="A258" s="2" t="n">
        <v>257</v>
      </c>
      <c r="B258" s="2" t="s">
        <v>247</v>
      </c>
      <c r="C258" s="2" t="s">
        <v>279</v>
      </c>
      <c r="D258" s="2" t="s">
        <v>14</v>
      </c>
      <c r="E258" s="3" t="n">
        <v>2</v>
      </c>
      <c r="F258" s="4" t="n">
        <v>4</v>
      </c>
      <c r="G258" s="4" t="n">
        <v>0</v>
      </c>
      <c r="H258" s="4"/>
      <c r="I258" s="4" t="n">
        <v>0</v>
      </c>
      <c r="J258" s="4" t="n">
        <v>0</v>
      </c>
      <c r="K258" s="4" t="n">
        <v>0</v>
      </c>
      <c r="L258" s="4" t="n">
        <f aca="false">IF(COUNT(I258:K258)=0,"",SUM(I258:K258))</f>
        <v>0</v>
      </c>
    </row>
    <row r="259" customFormat="false" ht="15" hidden="false" customHeight="false" outlineLevel="0" collapsed="false">
      <c r="A259" s="2" t="n">
        <v>258</v>
      </c>
      <c r="B259" s="2" t="s">
        <v>247</v>
      </c>
      <c r="C259" s="2" t="s">
        <v>280</v>
      </c>
      <c r="D259" s="2" t="s">
        <v>14</v>
      </c>
      <c r="E259" s="3"/>
      <c r="F259" s="4" t="n">
        <v>24</v>
      </c>
      <c r="G259" s="4" t="n">
        <v>0</v>
      </c>
      <c r="H259" s="4"/>
      <c r="I259" s="4" t="n">
        <v>0</v>
      </c>
      <c r="J259" s="4" t="n">
        <v>0</v>
      </c>
      <c r="K259" s="4" t="n">
        <v>0</v>
      </c>
      <c r="L259" s="4" t="n">
        <f aca="false">IF(COUNT(I259:K259)=0,"",SUM(I259:K259))</f>
        <v>0</v>
      </c>
    </row>
    <row r="260" customFormat="false" ht="15" hidden="false" customHeight="false" outlineLevel="0" collapsed="false">
      <c r="A260" s="2" t="n">
        <v>259</v>
      </c>
      <c r="B260" s="2" t="s">
        <v>247</v>
      </c>
      <c r="C260" s="2" t="s">
        <v>281</v>
      </c>
      <c r="D260" s="2" t="s">
        <v>14</v>
      </c>
      <c r="E260" s="3" t="n">
        <v>643</v>
      </c>
      <c r="F260" s="4" t="n">
        <v>631.9</v>
      </c>
      <c r="G260" s="4" t="n">
        <v>5.4</v>
      </c>
      <c r="H260" s="4" t="n">
        <v>0</v>
      </c>
      <c r="I260" s="4" t="n">
        <v>25</v>
      </c>
      <c r="J260" s="4" t="n">
        <v>0</v>
      </c>
      <c r="K260" s="4" t="n">
        <v>0</v>
      </c>
      <c r="L260" s="4" t="n">
        <f aca="false">IF(COUNT(I260:K260)=0,"",SUM(I260:K260))</f>
        <v>25</v>
      </c>
    </row>
    <row r="261" customFormat="false" ht="15" hidden="false" customHeight="false" outlineLevel="0" collapsed="false">
      <c r="A261" s="2" t="n">
        <v>260</v>
      </c>
      <c r="B261" s="2" t="s">
        <v>247</v>
      </c>
      <c r="C261" s="2" t="s">
        <v>282</v>
      </c>
      <c r="D261" s="2" t="s">
        <v>14</v>
      </c>
      <c r="E261" s="3"/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f aca="false">IF(COUNT(I261:K261)=0,"",SUM(I261:K261))</f>
        <v>0</v>
      </c>
    </row>
    <row r="262" customFormat="false" ht="15" hidden="false" customHeight="false" outlineLevel="0" collapsed="false">
      <c r="A262" s="5" t="n">
        <v>261</v>
      </c>
      <c r="B262" s="5" t="s">
        <v>247</v>
      </c>
      <c r="C262" s="5" t="s">
        <v>283</v>
      </c>
      <c r="D262" s="5" t="s">
        <v>98</v>
      </c>
      <c r="E262" s="6"/>
      <c r="F262" s="7" t="n">
        <v>25</v>
      </c>
      <c r="G262" s="7" t="n">
        <v>0</v>
      </c>
      <c r="H262" s="7"/>
      <c r="I262" s="7" t="n">
        <v>0</v>
      </c>
      <c r="J262" s="7" t="n">
        <v>0</v>
      </c>
      <c r="K262" s="7" t="n">
        <v>0</v>
      </c>
      <c r="L262" s="7" t="n">
        <f aca="false">IF(COUNT(I262:K262)=0,"",SUM(I262:K262))</f>
        <v>0</v>
      </c>
    </row>
    <row r="263" customFormat="false" ht="15" hidden="false" customHeight="false" outlineLevel="0" collapsed="false">
      <c r="A263" s="2" t="n">
        <v>262</v>
      </c>
      <c r="B263" s="2" t="s">
        <v>247</v>
      </c>
      <c r="C263" s="2" t="s">
        <v>284</v>
      </c>
      <c r="D263" s="2" t="s">
        <v>14</v>
      </c>
      <c r="E263" s="3" t="n">
        <v>25</v>
      </c>
      <c r="F263" s="4" t="n">
        <v>25</v>
      </c>
      <c r="G263" s="4" t="n">
        <v>0</v>
      </c>
      <c r="H263" s="4"/>
      <c r="I263" s="4" t="n">
        <v>0</v>
      </c>
      <c r="J263" s="4" t="n">
        <v>0</v>
      </c>
      <c r="K263" s="4" t="n">
        <v>0</v>
      </c>
      <c r="L263" s="4" t="n">
        <f aca="false">IF(COUNT(I263:K263)=0,"",SUM(I263:K263))</f>
        <v>0</v>
      </c>
    </row>
    <row r="264" customFormat="false" ht="15" hidden="false" customHeight="false" outlineLevel="0" collapsed="false">
      <c r="A264" s="2" t="n">
        <v>263</v>
      </c>
      <c r="B264" s="2" t="s">
        <v>247</v>
      </c>
      <c r="C264" s="2" t="s">
        <v>285</v>
      </c>
      <c r="D264" s="2" t="s">
        <v>14</v>
      </c>
      <c r="E264" s="3"/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f aca="false">IF(COUNT(I264:K264)=0,"",SUM(I264:K264))</f>
        <v>0</v>
      </c>
    </row>
    <row r="265" customFormat="false" ht="15" hidden="false" customHeight="false" outlineLevel="0" collapsed="false">
      <c r="A265" s="2" t="n">
        <v>264</v>
      </c>
      <c r="B265" s="2" t="s">
        <v>247</v>
      </c>
      <c r="C265" s="2" t="s">
        <v>286</v>
      </c>
      <c r="D265" s="2" t="s">
        <v>14</v>
      </c>
      <c r="E265" s="3" t="n">
        <v>9187</v>
      </c>
      <c r="F265" s="4" t="n">
        <v>8844.5</v>
      </c>
      <c r="G265" s="4" t="n">
        <v>414</v>
      </c>
      <c r="H265" s="4" t="n">
        <v>255</v>
      </c>
      <c r="I265" s="4" t="n">
        <v>2021</v>
      </c>
      <c r="J265" s="4" t="n">
        <v>1715.8</v>
      </c>
      <c r="K265" s="4" t="n">
        <v>1682.2</v>
      </c>
      <c r="L265" s="4" t="n">
        <f aca="false">IF(COUNT(I265:K265)=0,"",SUM(I265:K265))</f>
        <v>5419</v>
      </c>
    </row>
    <row r="266" customFormat="false" ht="15" hidden="false" customHeight="false" outlineLevel="0" collapsed="false">
      <c r="A266" s="2" t="n">
        <v>265</v>
      </c>
      <c r="B266" s="2" t="s">
        <v>247</v>
      </c>
      <c r="C266" s="2" t="s">
        <v>287</v>
      </c>
      <c r="D266" s="2" t="s">
        <v>14</v>
      </c>
      <c r="E266" s="3" t="n">
        <v>7429</v>
      </c>
      <c r="F266" s="4" t="n">
        <v>7494.1</v>
      </c>
      <c r="G266" s="4" t="n">
        <v>252.6</v>
      </c>
      <c r="H266" s="4" t="n">
        <v>363</v>
      </c>
      <c r="I266" s="4" t="n">
        <v>1016</v>
      </c>
      <c r="J266" s="4" t="n">
        <v>865.6</v>
      </c>
      <c r="K266" s="4" t="n">
        <v>849.1</v>
      </c>
      <c r="L266" s="4" t="n">
        <f aca="false">IF(COUNT(I266:K266)=0,"",SUM(I266:K266))</f>
        <v>2730.7</v>
      </c>
    </row>
    <row r="267" customFormat="false" ht="15" hidden="false" customHeight="false" outlineLevel="0" collapsed="false">
      <c r="A267" s="2" t="n">
        <v>266</v>
      </c>
      <c r="B267" s="2" t="s">
        <v>247</v>
      </c>
      <c r="C267" s="8" t="s">
        <v>288</v>
      </c>
      <c r="D267" s="2" t="s">
        <v>14</v>
      </c>
      <c r="E267" s="3"/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f aca="false">IF(COUNT(I267:K267)=0,"",SUM(I267:K267))</f>
        <v>0</v>
      </c>
    </row>
    <row r="268" customFormat="false" ht="15" hidden="false" customHeight="false" outlineLevel="0" collapsed="false">
      <c r="A268" s="2" t="n">
        <v>267</v>
      </c>
      <c r="B268" s="2" t="s">
        <v>247</v>
      </c>
      <c r="C268" s="8" t="s">
        <v>289</v>
      </c>
      <c r="D268" s="2" t="s">
        <v>14</v>
      </c>
      <c r="E268" s="3" t="n">
        <v>3009</v>
      </c>
      <c r="F268" s="4" t="n">
        <v>3007</v>
      </c>
      <c r="G268" s="4" t="n">
        <v>7.6</v>
      </c>
      <c r="H268" s="4"/>
      <c r="I268" s="4" t="n">
        <v>34.5</v>
      </c>
      <c r="J268" s="4" t="n">
        <v>29.2</v>
      </c>
      <c r="K268" s="4" t="n">
        <v>28.6</v>
      </c>
      <c r="L268" s="4" t="n">
        <f aca="false">IF(COUNT(I268:K268)=0,"",SUM(I268:K268))</f>
        <v>92.3</v>
      </c>
    </row>
    <row r="269" customFormat="false" ht="15" hidden="false" customHeight="false" outlineLevel="0" collapsed="false">
      <c r="A269" s="2" t="n">
        <v>268</v>
      </c>
      <c r="B269" s="2" t="s">
        <v>290</v>
      </c>
      <c r="C269" s="2" t="s">
        <v>291</v>
      </c>
      <c r="D269" s="2" t="s">
        <v>14</v>
      </c>
      <c r="E269" s="3" t="n">
        <v>6527</v>
      </c>
      <c r="F269" s="4" t="n">
        <v>6486.9</v>
      </c>
      <c r="G269" s="4" t="n">
        <v>101.6</v>
      </c>
      <c r="H269" s="4"/>
      <c r="I269" s="4" t="n">
        <v>457.8</v>
      </c>
      <c r="J269" s="4" t="n">
        <v>394.5</v>
      </c>
      <c r="K269" s="4" t="n">
        <v>382.9</v>
      </c>
      <c r="L269" s="4" t="n">
        <f aca="false">IF(COUNT(I269:K269)=0,"",SUM(I269:K269))</f>
        <v>1235.2</v>
      </c>
    </row>
    <row r="270" customFormat="false" ht="15" hidden="false" customHeight="false" outlineLevel="0" collapsed="false">
      <c r="A270" s="2" t="n">
        <v>269</v>
      </c>
      <c r="B270" s="2" t="s">
        <v>290</v>
      </c>
      <c r="C270" s="2" t="s">
        <v>292</v>
      </c>
      <c r="D270" s="2" t="s">
        <v>14</v>
      </c>
      <c r="E270" s="3" t="n">
        <v>907</v>
      </c>
      <c r="F270" s="4" t="n">
        <v>929</v>
      </c>
      <c r="G270" s="4" t="n">
        <v>12.9</v>
      </c>
      <c r="H270" s="4"/>
      <c r="I270" s="4" t="n">
        <v>56.7</v>
      </c>
      <c r="J270" s="4" t="n">
        <v>56.7</v>
      </c>
      <c r="K270" s="4" t="n">
        <v>56.7</v>
      </c>
      <c r="L270" s="4" t="n">
        <f aca="false">IF(COUNT(I270:K270)=0,"",SUM(I270:K270))</f>
        <v>170.1</v>
      </c>
    </row>
    <row r="271" customFormat="false" ht="15" hidden="false" customHeight="false" outlineLevel="0" collapsed="false">
      <c r="A271" s="2" t="n">
        <v>270</v>
      </c>
      <c r="B271" s="2" t="s">
        <v>290</v>
      </c>
      <c r="C271" s="2" t="s">
        <v>293</v>
      </c>
      <c r="D271" s="2" t="s">
        <v>14</v>
      </c>
      <c r="E271" s="3" t="n">
        <v>5141</v>
      </c>
      <c r="F271" s="4" t="n">
        <v>4833.5</v>
      </c>
      <c r="G271" s="4" t="n">
        <v>92.4</v>
      </c>
      <c r="H271" s="4"/>
      <c r="I271" s="4" t="n">
        <v>296.3</v>
      </c>
      <c r="J271" s="4" t="n">
        <v>263.3</v>
      </c>
      <c r="K271" s="4" t="n">
        <v>259.7</v>
      </c>
      <c r="L271" s="4" t="n">
        <f aca="false">IF(COUNT(I271:K271)=0,"",SUM(I271:K271))</f>
        <v>819.3</v>
      </c>
    </row>
    <row r="272" customFormat="false" ht="15" hidden="false" customHeight="false" outlineLevel="0" collapsed="false">
      <c r="A272" s="2" t="n">
        <v>271</v>
      </c>
      <c r="B272" s="2" t="s">
        <v>290</v>
      </c>
      <c r="C272" s="2" t="s">
        <v>294</v>
      </c>
      <c r="D272" s="2" t="s">
        <v>14</v>
      </c>
      <c r="E272" s="3" t="n">
        <v>8342</v>
      </c>
      <c r="F272" s="4" t="n">
        <v>8331.1</v>
      </c>
      <c r="G272" s="4" t="n">
        <v>78.2</v>
      </c>
      <c r="H272" s="4"/>
      <c r="I272" s="4" t="n">
        <v>352.1</v>
      </c>
      <c r="J272" s="4" t="n">
        <v>303.5</v>
      </c>
      <c r="K272" s="4" t="n">
        <v>294.6</v>
      </c>
      <c r="L272" s="4" t="n">
        <f aca="false">IF(COUNT(I272:K272)=0,"",SUM(I272:K272))</f>
        <v>950.2</v>
      </c>
    </row>
    <row r="273" customFormat="false" ht="15" hidden="false" customHeight="false" outlineLevel="0" collapsed="false">
      <c r="A273" s="2" t="n">
        <v>272</v>
      </c>
      <c r="B273" s="2" t="s">
        <v>290</v>
      </c>
      <c r="C273" s="2" t="s">
        <v>295</v>
      </c>
      <c r="D273" s="2" t="s">
        <v>14</v>
      </c>
      <c r="E273" s="3" t="n">
        <v>9324</v>
      </c>
      <c r="F273" s="4" t="n">
        <v>9273</v>
      </c>
      <c r="G273" s="4" t="n">
        <v>107.5</v>
      </c>
      <c r="H273" s="4"/>
      <c r="I273" s="4" t="n">
        <v>484.2</v>
      </c>
      <c r="J273" s="4" t="n">
        <v>417.3</v>
      </c>
      <c r="K273" s="4" t="n">
        <v>405</v>
      </c>
      <c r="L273" s="4" t="n">
        <f aca="false">IF(COUNT(I273:K273)=0,"",SUM(I273:K273))</f>
        <v>1306.5</v>
      </c>
    </row>
    <row r="274" customFormat="false" ht="15" hidden="false" customHeight="false" outlineLevel="0" collapsed="false">
      <c r="A274" s="2" t="n">
        <v>273</v>
      </c>
      <c r="B274" s="2" t="s">
        <v>290</v>
      </c>
      <c r="C274" s="2" t="s">
        <v>296</v>
      </c>
      <c r="D274" s="2" t="s">
        <v>14</v>
      </c>
      <c r="E274" s="3" t="n">
        <v>1289</v>
      </c>
      <c r="F274" s="4" t="n">
        <v>1317.9</v>
      </c>
      <c r="G274" s="4" t="n">
        <v>65.1</v>
      </c>
      <c r="H274" s="4"/>
      <c r="I274" s="4" t="n">
        <v>295.2</v>
      </c>
      <c r="J274" s="4" t="n">
        <v>256.7</v>
      </c>
      <c r="K274" s="4" t="n">
        <v>252.4</v>
      </c>
      <c r="L274" s="4" t="n">
        <f aca="false">IF(COUNT(I274:K274)=0,"",SUM(I274:K274))</f>
        <v>804.3</v>
      </c>
    </row>
    <row r="275" customFormat="false" ht="15" hidden="false" customHeight="false" outlineLevel="0" collapsed="false">
      <c r="A275" s="2" t="n">
        <v>274</v>
      </c>
      <c r="B275" s="2" t="s">
        <v>290</v>
      </c>
      <c r="C275" s="2" t="s">
        <v>297</v>
      </c>
      <c r="D275" s="2" t="s">
        <v>14</v>
      </c>
      <c r="E275" s="3" t="n">
        <v>261</v>
      </c>
      <c r="F275" s="4" t="n">
        <v>2866.7</v>
      </c>
      <c r="G275" s="4" t="n">
        <v>58.5</v>
      </c>
      <c r="H275" s="4"/>
      <c r="I275" s="4" t="n">
        <v>259.2</v>
      </c>
      <c r="J275" s="4" t="n">
        <v>219.9</v>
      </c>
      <c r="K275" s="4" t="n">
        <v>215.5</v>
      </c>
      <c r="L275" s="4" t="n">
        <f aca="false">IF(COUNT(I275:K275)=0,"",SUM(I275:K275))</f>
        <v>694.6</v>
      </c>
    </row>
    <row r="276" customFormat="false" ht="15" hidden="false" customHeight="false" outlineLevel="0" collapsed="false">
      <c r="A276" s="2" t="n">
        <v>275</v>
      </c>
      <c r="B276" s="2" t="s">
        <v>290</v>
      </c>
      <c r="C276" s="2" t="s">
        <v>298</v>
      </c>
      <c r="D276" s="2" t="s">
        <v>14</v>
      </c>
      <c r="E276" s="3" t="n">
        <v>7274</v>
      </c>
      <c r="F276" s="4" t="n">
        <v>7410.6</v>
      </c>
      <c r="G276" s="4" t="n">
        <v>109</v>
      </c>
      <c r="H276" s="4"/>
      <c r="I276" s="4" t="n">
        <v>435.1</v>
      </c>
      <c r="J276" s="4" t="n">
        <v>376</v>
      </c>
      <c r="K276" s="4" t="n">
        <v>369.5</v>
      </c>
      <c r="L276" s="4" t="n">
        <f aca="false">IF(COUNT(I276:K276)=0,"",SUM(I276:K276))</f>
        <v>1180.6</v>
      </c>
    </row>
    <row r="277" customFormat="false" ht="15" hidden="false" customHeight="false" outlineLevel="0" collapsed="false">
      <c r="A277" s="2" t="n">
        <v>276</v>
      </c>
      <c r="B277" s="2" t="s">
        <v>290</v>
      </c>
      <c r="C277" s="2" t="s">
        <v>299</v>
      </c>
      <c r="D277" s="2" t="s">
        <v>14</v>
      </c>
      <c r="E277" s="3" t="n">
        <v>20195</v>
      </c>
      <c r="F277" s="4" t="n">
        <v>19657.4</v>
      </c>
      <c r="G277" s="4" t="n">
        <v>211.5</v>
      </c>
      <c r="H277" s="4"/>
      <c r="I277" s="4" t="n">
        <v>844.6</v>
      </c>
      <c r="J277" s="4" t="n">
        <v>729.9</v>
      </c>
      <c r="K277" s="4" t="n">
        <v>717.3</v>
      </c>
      <c r="L277" s="4" t="n">
        <f aca="false">IF(COUNT(I277:K277)=0,"",SUM(I277:K277))</f>
        <v>2291.8</v>
      </c>
    </row>
    <row r="278" customFormat="false" ht="15" hidden="false" customHeight="false" outlineLevel="0" collapsed="false">
      <c r="A278" s="2" t="n">
        <v>277</v>
      </c>
      <c r="B278" s="2" t="s">
        <v>290</v>
      </c>
      <c r="C278" s="8" t="s">
        <v>300</v>
      </c>
      <c r="D278" s="2" t="s">
        <v>14</v>
      </c>
      <c r="E278" s="3" t="n">
        <v>724</v>
      </c>
      <c r="F278" s="4" t="n">
        <v>704.3</v>
      </c>
      <c r="G278" s="4" t="n">
        <v>9.7</v>
      </c>
      <c r="H278" s="4"/>
      <c r="I278" s="4" t="n">
        <v>44.1</v>
      </c>
      <c r="J278" s="4" t="n">
        <v>37.8</v>
      </c>
      <c r="K278" s="4" t="n">
        <v>37.1</v>
      </c>
      <c r="L278" s="4" t="n">
        <f aca="false">IF(COUNT(I278:K278)=0,"",SUM(I278:K278))</f>
        <v>119</v>
      </c>
    </row>
    <row r="279" customFormat="false" ht="15" hidden="false" customHeight="false" outlineLevel="0" collapsed="false">
      <c r="A279" s="2" t="n">
        <v>278</v>
      </c>
      <c r="B279" s="2" t="s">
        <v>290</v>
      </c>
      <c r="C279" s="8" t="s">
        <v>301</v>
      </c>
      <c r="D279" s="2" t="s">
        <v>14</v>
      </c>
      <c r="E279" s="3" t="n">
        <v>723</v>
      </c>
      <c r="F279" s="4" t="n">
        <v>712.7</v>
      </c>
      <c r="G279" s="4" t="n">
        <v>4.8</v>
      </c>
      <c r="H279" s="4"/>
      <c r="I279" s="4" t="n">
        <v>22</v>
      </c>
      <c r="J279" s="4" t="n">
        <v>18.9</v>
      </c>
      <c r="K279" s="4" t="n">
        <v>18.6</v>
      </c>
      <c r="L279" s="4" t="n">
        <f aca="false">IF(COUNT(I279:K279)=0,"",SUM(I279:K279))</f>
        <v>59.5</v>
      </c>
    </row>
    <row r="280" customFormat="false" ht="15" hidden="false" customHeight="false" outlineLevel="0" collapsed="false">
      <c r="A280" s="2" t="n">
        <v>279</v>
      </c>
      <c r="B280" s="2" t="s">
        <v>290</v>
      </c>
      <c r="C280" s="8" t="s">
        <v>302</v>
      </c>
      <c r="D280" s="2" t="s">
        <v>14</v>
      </c>
      <c r="E280" s="3" t="n">
        <v>2389</v>
      </c>
      <c r="F280" s="4" t="n">
        <v>2127.1</v>
      </c>
      <c r="G280" s="4" t="n">
        <v>72.6</v>
      </c>
      <c r="H280" s="4"/>
      <c r="I280" s="4" t="n">
        <v>176.4</v>
      </c>
      <c r="J280" s="4" t="n">
        <v>151.3</v>
      </c>
      <c r="K280" s="4" t="n">
        <v>148.6</v>
      </c>
      <c r="L280" s="4" t="n">
        <f aca="false">IF(COUNT(I280:K280)=0,"",SUM(I280:K280))</f>
        <v>476.3</v>
      </c>
    </row>
    <row r="281" customFormat="false" ht="15" hidden="false" customHeight="false" outlineLevel="0" collapsed="false">
      <c r="A281" s="2" t="n">
        <v>280</v>
      </c>
      <c r="B281" s="2" t="s">
        <v>290</v>
      </c>
      <c r="C281" s="8" t="s">
        <v>303</v>
      </c>
      <c r="D281" s="2" t="s">
        <v>14</v>
      </c>
      <c r="E281" s="3" t="n">
        <v>2860</v>
      </c>
      <c r="F281" s="4" t="n">
        <v>2766.5</v>
      </c>
      <c r="G281" s="4" t="n">
        <v>47.5</v>
      </c>
      <c r="H281" s="4"/>
      <c r="I281" s="4" t="n">
        <v>200.6</v>
      </c>
      <c r="J281" s="4" t="n">
        <v>172.1</v>
      </c>
      <c r="K281" s="4" t="n">
        <v>169</v>
      </c>
      <c r="L281" s="4" t="n">
        <f aca="false">IF(COUNT(I281:K281)=0,"",SUM(I281:K281))</f>
        <v>541.7</v>
      </c>
    </row>
    <row r="282" customFormat="false" ht="15" hidden="false" customHeight="false" outlineLevel="0" collapsed="false">
      <c r="A282" s="2" t="n">
        <v>281</v>
      </c>
      <c r="B282" s="2" t="s">
        <v>290</v>
      </c>
      <c r="C282" s="8" t="s">
        <v>304</v>
      </c>
      <c r="D282" s="2" t="s">
        <v>14</v>
      </c>
      <c r="E282" s="3" t="n">
        <v>2419</v>
      </c>
      <c r="F282" s="4" t="n">
        <v>2161.1</v>
      </c>
      <c r="G282" s="4" t="n">
        <v>72.6</v>
      </c>
      <c r="H282" s="4"/>
      <c r="I282" s="4" t="n">
        <v>176.4</v>
      </c>
      <c r="J282" s="4" t="n">
        <v>151.3</v>
      </c>
      <c r="K282" s="4" t="n">
        <v>148.6</v>
      </c>
      <c r="L282" s="4" t="n">
        <f aca="false">IF(COUNT(I282:K282)=0,"",SUM(I282:K282))</f>
        <v>476.3</v>
      </c>
    </row>
    <row r="283" customFormat="false" ht="15" hidden="false" customHeight="false" outlineLevel="0" collapsed="false">
      <c r="A283" s="2" t="n">
        <v>282</v>
      </c>
      <c r="B283" s="2" t="s">
        <v>290</v>
      </c>
      <c r="C283" s="8" t="s">
        <v>305</v>
      </c>
      <c r="D283" s="2" t="s">
        <v>14</v>
      </c>
      <c r="E283" s="3" t="n">
        <v>933</v>
      </c>
      <c r="F283" s="4" t="n">
        <v>913.3</v>
      </c>
      <c r="G283" s="4" t="n">
        <v>9.7</v>
      </c>
      <c r="H283" s="4"/>
      <c r="I283" s="4" t="n">
        <v>44.1</v>
      </c>
      <c r="J283" s="4" t="n">
        <v>37.8</v>
      </c>
      <c r="K283" s="4" t="n">
        <v>37.1</v>
      </c>
      <c r="L283" s="4" t="n">
        <f aca="false">IF(COUNT(I283:K283)=0,"",SUM(I283:K283))</f>
        <v>119</v>
      </c>
    </row>
    <row r="284" customFormat="false" ht="15" hidden="false" customHeight="false" outlineLevel="0" collapsed="false">
      <c r="A284" s="2" t="n">
        <v>283</v>
      </c>
      <c r="B284" s="2" t="s">
        <v>290</v>
      </c>
      <c r="C284" s="8" t="s">
        <v>306</v>
      </c>
      <c r="D284" s="2" t="s">
        <v>14</v>
      </c>
      <c r="E284" s="3" t="n">
        <v>1022</v>
      </c>
      <c r="F284" s="4" t="n">
        <v>1011.7</v>
      </c>
      <c r="G284" s="4" t="n">
        <v>4.8</v>
      </c>
      <c r="H284" s="4"/>
      <c r="I284" s="4" t="n">
        <v>22</v>
      </c>
      <c r="J284" s="4" t="n">
        <v>18.9</v>
      </c>
      <c r="K284" s="4" t="n">
        <v>18.6</v>
      </c>
      <c r="L284" s="4" t="n">
        <f aca="false">IF(COUNT(I284:K284)=0,"",SUM(I284:K284))</f>
        <v>59.5</v>
      </c>
    </row>
    <row r="285" customFormat="false" ht="15" hidden="false" customHeight="false" outlineLevel="0" collapsed="false">
      <c r="A285" s="2" t="n">
        <v>284</v>
      </c>
      <c r="B285" s="2" t="s">
        <v>290</v>
      </c>
      <c r="C285" s="8" t="s">
        <v>307</v>
      </c>
      <c r="D285" s="2" t="s">
        <v>14</v>
      </c>
      <c r="E285" s="3" t="n">
        <v>2351</v>
      </c>
      <c r="F285" s="4" t="n">
        <v>2236.4</v>
      </c>
      <c r="G285" s="4" t="n">
        <v>67.9</v>
      </c>
      <c r="H285" s="4"/>
      <c r="I285" s="4" t="n">
        <v>286.6</v>
      </c>
      <c r="J285" s="4" t="n">
        <v>245.9</v>
      </c>
      <c r="K285" s="4" t="n">
        <v>241.4</v>
      </c>
      <c r="L285" s="4" t="n">
        <f aca="false">IF(COUNT(I285:K285)=0,"",SUM(I285:K285))</f>
        <v>773.9</v>
      </c>
    </row>
    <row r="286" customFormat="false" ht="15" hidden="false" customHeight="false" outlineLevel="0" collapsed="false">
      <c r="A286" s="2" t="n">
        <v>285</v>
      </c>
      <c r="B286" s="2" t="s">
        <v>290</v>
      </c>
      <c r="C286" s="8" t="s">
        <v>308</v>
      </c>
      <c r="D286" s="2" t="s">
        <v>14</v>
      </c>
      <c r="E286" s="3" t="n">
        <v>12646</v>
      </c>
      <c r="F286" s="4" t="n">
        <v>12614.2</v>
      </c>
      <c r="G286" s="4" t="n">
        <v>150.3</v>
      </c>
      <c r="H286" s="4"/>
      <c r="I286" s="4" t="n">
        <v>683.5</v>
      </c>
      <c r="J286" s="4" t="n">
        <v>586.4</v>
      </c>
      <c r="K286" s="4" t="n">
        <v>575.7</v>
      </c>
      <c r="L286" s="4" t="n">
        <f aca="false">IF(COUNT(I286:K286)=0,"",SUM(I286:K286))</f>
        <v>1845.6</v>
      </c>
    </row>
    <row r="287" customFormat="false" ht="15" hidden="false" customHeight="false" outlineLevel="0" collapsed="false">
      <c r="A287" s="2" t="n">
        <v>286</v>
      </c>
      <c r="B287" s="2" t="s">
        <v>290</v>
      </c>
      <c r="C287" s="8" t="s">
        <v>309</v>
      </c>
      <c r="D287" s="2" t="s">
        <v>14</v>
      </c>
      <c r="E287" s="3" t="n">
        <v>3919</v>
      </c>
      <c r="F287" s="4" t="n">
        <v>3921.2</v>
      </c>
      <c r="G287" s="4" t="n">
        <v>2.3</v>
      </c>
      <c r="H287" s="4"/>
      <c r="I287" s="4" t="n">
        <v>10.3</v>
      </c>
      <c r="J287" s="4" t="n">
        <v>8.8</v>
      </c>
      <c r="K287" s="4" t="n">
        <v>8.6</v>
      </c>
      <c r="L287" s="4" t="n">
        <f aca="false">IF(COUNT(I287:K287)=0,"",SUM(I287:K287))</f>
        <v>27.7</v>
      </c>
    </row>
    <row r="288" customFormat="false" ht="15" hidden="false" customHeight="false" outlineLevel="0" collapsed="false">
      <c r="A288" s="2" t="n">
        <v>287</v>
      </c>
      <c r="B288" s="2" t="s">
        <v>310</v>
      </c>
      <c r="C288" s="2" t="s">
        <v>311</v>
      </c>
      <c r="D288" s="2" t="s">
        <v>14</v>
      </c>
      <c r="E288" s="3" t="n">
        <v>82</v>
      </c>
      <c r="F288" s="4" t="n">
        <v>85</v>
      </c>
      <c r="G288" s="4" t="n">
        <v>0</v>
      </c>
      <c r="H288" s="4"/>
      <c r="I288" s="4" t="n">
        <v>0</v>
      </c>
      <c r="J288" s="4" t="n">
        <v>0</v>
      </c>
      <c r="K288" s="4" t="n">
        <v>0</v>
      </c>
      <c r="L288" s="4" t="n">
        <f aca="false">IF(COUNT(I288:K288)=0,"",SUM(I288:K288))</f>
        <v>0</v>
      </c>
    </row>
    <row r="289" customFormat="false" ht="15" hidden="false" customHeight="false" outlineLevel="0" collapsed="false">
      <c r="A289" s="2" t="n">
        <v>288</v>
      </c>
      <c r="B289" s="2" t="s">
        <v>310</v>
      </c>
      <c r="C289" s="2" t="s">
        <v>312</v>
      </c>
      <c r="D289" s="2" t="s">
        <v>14</v>
      </c>
      <c r="E289" s="3" t="n">
        <v>1083</v>
      </c>
      <c r="F289" s="4" t="n">
        <v>1129.4</v>
      </c>
      <c r="G289" s="4" t="n">
        <v>23.9</v>
      </c>
      <c r="H289" s="4"/>
      <c r="I289" s="4" t="n">
        <v>105</v>
      </c>
      <c r="J289" s="4" t="n">
        <v>105</v>
      </c>
      <c r="K289" s="4" t="n">
        <v>105</v>
      </c>
      <c r="L289" s="4" t="n">
        <f aca="false">IF(COUNT(I289:K289)=0,"",SUM(I289:K289))</f>
        <v>315</v>
      </c>
    </row>
    <row r="290" customFormat="false" ht="15" hidden="false" customHeight="false" outlineLevel="0" collapsed="false">
      <c r="A290" s="2" t="n">
        <v>289</v>
      </c>
      <c r="B290" s="2" t="s">
        <v>310</v>
      </c>
      <c r="C290" s="2" t="s">
        <v>313</v>
      </c>
      <c r="D290" s="2" t="s">
        <v>14</v>
      </c>
      <c r="E290" s="3"/>
      <c r="F290" s="4" t="n">
        <v>1614.4</v>
      </c>
      <c r="G290" s="4" t="n">
        <v>23.9</v>
      </c>
      <c r="H290" s="4"/>
      <c r="I290" s="4" t="n">
        <v>105</v>
      </c>
      <c r="J290" s="4" t="n">
        <v>105</v>
      </c>
      <c r="K290" s="4" t="n">
        <v>105</v>
      </c>
      <c r="L290" s="4" t="n">
        <f aca="false">IF(COUNT(I290:K290)=0,"",SUM(I290:K290))</f>
        <v>315</v>
      </c>
    </row>
    <row r="291" customFormat="false" ht="15" hidden="false" customHeight="false" outlineLevel="0" collapsed="false">
      <c r="A291" s="2" t="n">
        <v>290</v>
      </c>
      <c r="B291" s="2" t="s">
        <v>310</v>
      </c>
      <c r="C291" s="2" t="s">
        <v>314</v>
      </c>
      <c r="D291" s="2" t="s">
        <v>14</v>
      </c>
      <c r="E291" s="3"/>
      <c r="F291" s="4" t="n">
        <v>1292.4</v>
      </c>
      <c r="G291" s="4" t="n">
        <v>23.9</v>
      </c>
      <c r="H291" s="4"/>
      <c r="I291" s="4" t="n">
        <v>105</v>
      </c>
      <c r="J291" s="4" t="n">
        <v>105</v>
      </c>
      <c r="K291" s="4" t="n">
        <v>105</v>
      </c>
      <c r="L291" s="4" t="n">
        <f aca="false">IF(COUNT(I291:K291)=0,"",SUM(I291:K291))</f>
        <v>315</v>
      </c>
    </row>
    <row r="292" customFormat="false" ht="15" hidden="false" customHeight="false" outlineLevel="0" collapsed="false">
      <c r="A292" s="2" t="n">
        <v>291</v>
      </c>
      <c r="B292" s="2" t="s">
        <v>310</v>
      </c>
      <c r="C292" s="2" t="s">
        <v>315</v>
      </c>
      <c r="D292" s="2" t="s">
        <v>14</v>
      </c>
      <c r="E292" s="3" t="n">
        <v>262</v>
      </c>
      <c r="F292" s="4" t="n">
        <v>261</v>
      </c>
      <c r="G292" s="4" t="n">
        <v>0</v>
      </c>
      <c r="H292" s="4"/>
      <c r="I292" s="4" t="n">
        <v>0</v>
      </c>
      <c r="J292" s="4" t="n">
        <v>0</v>
      </c>
      <c r="K292" s="4" t="n">
        <v>0</v>
      </c>
      <c r="L292" s="4" t="n">
        <f aca="false">IF(COUNT(I292:K292)=0,"",SUM(I292:K292))</f>
        <v>0</v>
      </c>
    </row>
    <row r="293" customFormat="false" ht="15" hidden="false" customHeight="false" outlineLevel="0" collapsed="false">
      <c r="A293" s="2" t="n">
        <v>292</v>
      </c>
      <c r="B293" s="2" t="s">
        <v>310</v>
      </c>
      <c r="C293" s="2" t="s">
        <v>316</v>
      </c>
      <c r="D293" s="2" t="s">
        <v>14</v>
      </c>
      <c r="E293" s="3" t="n">
        <v>23</v>
      </c>
      <c r="F293" s="4" t="n">
        <v>29</v>
      </c>
      <c r="G293" s="4" t="n">
        <v>0</v>
      </c>
      <c r="H293" s="4"/>
      <c r="I293" s="4" t="n">
        <v>0</v>
      </c>
      <c r="J293" s="4" t="n">
        <v>0</v>
      </c>
      <c r="K293" s="4" t="n">
        <v>0</v>
      </c>
      <c r="L293" s="4" t="n">
        <f aca="false">IF(COUNT(I293:K293)=0,"",SUM(I293:K293))</f>
        <v>0</v>
      </c>
    </row>
    <row r="294" customFormat="false" ht="15" hidden="false" customHeight="false" outlineLevel="0" collapsed="false">
      <c r="A294" s="2" t="n">
        <v>293</v>
      </c>
      <c r="B294" s="2" t="s">
        <v>310</v>
      </c>
      <c r="C294" s="2" t="s">
        <v>317</v>
      </c>
      <c r="D294" s="2" t="s">
        <v>14</v>
      </c>
      <c r="E294" s="3"/>
      <c r="F294" s="4" t="n">
        <v>2058.6</v>
      </c>
      <c r="G294" s="4" t="n">
        <v>666.6</v>
      </c>
      <c r="H294" s="4"/>
      <c r="I294" s="4" t="n">
        <v>3037</v>
      </c>
      <c r="J294" s="4" t="n">
        <v>2581.3</v>
      </c>
      <c r="K294" s="4" t="n">
        <v>2531.3</v>
      </c>
      <c r="L294" s="4" t="n">
        <f aca="false">IF(COUNT(I294:K294)=0,"",SUM(I294:K294))</f>
        <v>8149.6</v>
      </c>
    </row>
    <row r="295" customFormat="false" ht="15" hidden="false" customHeight="false" outlineLevel="0" collapsed="false">
      <c r="A295" s="2" t="n">
        <v>294</v>
      </c>
      <c r="B295" s="2" t="s">
        <v>310</v>
      </c>
      <c r="C295" s="2" t="s">
        <v>318</v>
      </c>
      <c r="D295" s="2" t="s">
        <v>14</v>
      </c>
      <c r="E295" s="3" t="n">
        <v>152</v>
      </c>
      <c r="F295" s="4" t="n">
        <v>151.4</v>
      </c>
      <c r="G295" s="4" t="n">
        <v>5</v>
      </c>
      <c r="H295" s="4"/>
      <c r="I295" s="4" t="n">
        <v>22.5</v>
      </c>
      <c r="J295" s="4" t="n">
        <v>19.5</v>
      </c>
      <c r="K295" s="4" t="n">
        <v>19.2</v>
      </c>
      <c r="L295" s="4" t="n">
        <f aca="false">IF(COUNT(I295:K295)=0,"",SUM(I295:K295))</f>
        <v>61.2</v>
      </c>
    </row>
    <row r="296" customFormat="false" ht="15" hidden="false" customHeight="false" outlineLevel="0" collapsed="false">
      <c r="A296" s="2" t="n">
        <v>295</v>
      </c>
      <c r="B296" s="2" t="s">
        <v>310</v>
      </c>
      <c r="C296" s="2" t="s">
        <v>319</v>
      </c>
      <c r="D296" s="2" t="s">
        <v>14</v>
      </c>
      <c r="E296" s="3" t="n">
        <v>67</v>
      </c>
      <c r="F296" s="4" t="n">
        <v>68</v>
      </c>
      <c r="G296" s="4" t="n">
        <v>0</v>
      </c>
      <c r="H296" s="4"/>
      <c r="I296" s="4" t="n">
        <v>0</v>
      </c>
      <c r="J296" s="4" t="n">
        <v>0</v>
      </c>
      <c r="K296" s="4" t="n">
        <v>0</v>
      </c>
      <c r="L296" s="4" t="n">
        <f aca="false">IF(COUNT(I296:K296)=0,"",SUM(I296:K296))</f>
        <v>0</v>
      </c>
    </row>
    <row r="297" customFormat="false" ht="15" hidden="false" customHeight="false" outlineLevel="0" collapsed="false">
      <c r="A297" s="2" t="n">
        <v>296</v>
      </c>
      <c r="B297" s="2" t="s">
        <v>310</v>
      </c>
      <c r="C297" s="2" t="s">
        <v>320</v>
      </c>
      <c r="D297" s="2" t="s">
        <v>14</v>
      </c>
      <c r="E297" s="3" t="n">
        <v>37</v>
      </c>
      <c r="F297" s="4" t="n">
        <v>38</v>
      </c>
      <c r="G297" s="4" t="n">
        <v>0</v>
      </c>
      <c r="H297" s="4"/>
      <c r="I297" s="4" t="n">
        <v>0</v>
      </c>
      <c r="J297" s="4" t="n">
        <v>0</v>
      </c>
      <c r="K297" s="4" t="n">
        <v>0</v>
      </c>
      <c r="L297" s="4" t="n">
        <f aca="false">IF(COUNT(I297:K297)=0,"",SUM(I297:K297))</f>
        <v>0</v>
      </c>
    </row>
    <row r="298" customFormat="false" ht="15" hidden="false" customHeight="false" outlineLevel="0" collapsed="false">
      <c r="A298" s="2" t="n">
        <v>297</v>
      </c>
      <c r="B298" s="2" t="s">
        <v>310</v>
      </c>
      <c r="C298" s="2" t="s">
        <v>321</v>
      </c>
      <c r="D298" s="2" t="s">
        <v>14</v>
      </c>
      <c r="E298" s="3"/>
      <c r="F298" s="4" t="n">
        <v>0</v>
      </c>
      <c r="G298" s="4" t="n">
        <v>0</v>
      </c>
      <c r="H298" s="4"/>
      <c r="I298" s="4" t="n">
        <v>0</v>
      </c>
      <c r="J298" s="4" t="n">
        <v>0</v>
      </c>
      <c r="K298" s="4" t="n">
        <v>0</v>
      </c>
      <c r="L298" s="4" t="n">
        <f aca="false">IF(COUNT(I298:K298)=0,"",SUM(I298:K298))</f>
        <v>0</v>
      </c>
    </row>
    <row r="299" customFormat="false" ht="15" hidden="false" customHeight="false" outlineLevel="0" collapsed="false">
      <c r="A299" s="2" t="n">
        <v>298</v>
      </c>
      <c r="B299" s="2" t="s">
        <v>310</v>
      </c>
      <c r="C299" s="2" t="s">
        <v>322</v>
      </c>
      <c r="D299" s="2" t="s">
        <v>14</v>
      </c>
      <c r="E299" s="3" t="n">
        <v>2</v>
      </c>
      <c r="F299" s="4" t="n">
        <v>2</v>
      </c>
      <c r="G299" s="4" t="n">
        <v>0</v>
      </c>
      <c r="H299" s="4"/>
      <c r="I299" s="4" t="n">
        <v>0</v>
      </c>
      <c r="J299" s="4" t="n">
        <v>0</v>
      </c>
      <c r="K299" s="4" t="n">
        <v>0</v>
      </c>
      <c r="L299" s="4" t="n">
        <f aca="false">IF(COUNT(I299:K299)=0,"",SUM(I299:K299))</f>
        <v>0</v>
      </c>
    </row>
    <row r="300" customFormat="false" ht="15" hidden="false" customHeight="false" outlineLevel="0" collapsed="false">
      <c r="A300" s="2" t="n">
        <v>299</v>
      </c>
      <c r="B300" s="2" t="s">
        <v>310</v>
      </c>
      <c r="C300" s="2" t="s">
        <v>323</v>
      </c>
      <c r="D300" s="2" t="s">
        <v>14</v>
      </c>
      <c r="E300" s="3" t="n">
        <v>500</v>
      </c>
      <c r="F300" s="4" t="n">
        <v>571</v>
      </c>
      <c r="G300" s="4" t="n">
        <v>0</v>
      </c>
      <c r="H300" s="4"/>
      <c r="I300" s="4" t="n">
        <v>0</v>
      </c>
      <c r="J300" s="4" t="n">
        <v>0</v>
      </c>
      <c r="K300" s="4" t="n">
        <v>0</v>
      </c>
      <c r="L300" s="4" t="n">
        <f aca="false">IF(COUNT(I300:K300)=0,"",SUM(I300:K300))</f>
        <v>0</v>
      </c>
    </row>
    <row r="301" customFormat="false" ht="15" hidden="false" customHeight="false" outlineLevel="0" collapsed="false">
      <c r="A301" s="2" t="n">
        <v>300</v>
      </c>
      <c r="B301" s="2" t="s">
        <v>310</v>
      </c>
      <c r="C301" s="2" t="s">
        <v>324</v>
      </c>
      <c r="D301" s="2" t="s">
        <v>14</v>
      </c>
      <c r="E301" s="3" t="n">
        <v>224</v>
      </c>
      <c r="F301" s="4" t="n">
        <v>827</v>
      </c>
      <c r="G301" s="4" t="n">
        <v>0</v>
      </c>
      <c r="H301" s="4"/>
      <c r="I301" s="4" t="n">
        <v>0</v>
      </c>
      <c r="J301" s="4" t="n">
        <v>0</v>
      </c>
      <c r="K301" s="4" t="n">
        <v>0</v>
      </c>
      <c r="L301" s="4" t="n">
        <f aca="false">IF(COUNT(I301:K301)=0,"",SUM(I301:K301))</f>
        <v>0</v>
      </c>
    </row>
    <row r="302" customFormat="false" ht="15" hidden="false" customHeight="false" outlineLevel="0" collapsed="false">
      <c r="A302" s="2" t="n">
        <v>301</v>
      </c>
      <c r="B302" s="2" t="s">
        <v>310</v>
      </c>
      <c r="C302" s="2" t="s">
        <v>325</v>
      </c>
      <c r="D302" s="2" t="s">
        <v>14</v>
      </c>
      <c r="E302" s="3" t="n">
        <v>507</v>
      </c>
      <c r="F302" s="4" t="n">
        <v>495.9</v>
      </c>
      <c r="G302" s="4" t="n">
        <v>5.4</v>
      </c>
      <c r="H302" s="4"/>
      <c r="I302" s="4" t="n">
        <v>25</v>
      </c>
      <c r="J302" s="4" t="n">
        <v>0</v>
      </c>
      <c r="K302" s="4" t="n">
        <v>0</v>
      </c>
      <c r="L302" s="4" t="n">
        <f aca="false">IF(COUNT(I302:K302)=0,"",SUM(I302:K302))</f>
        <v>25</v>
      </c>
    </row>
    <row r="303" customFormat="false" ht="15" hidden="false" customHeight="false" outlineLevel="0" collapsed="false">
      <c r="A303" s="2" t="n">
        <v>302</v>
      </c>
      <c r="B303" s="2" t="s">
        <v>310</v>
      </c>
      <c r="C303" s="2" t="s">
        <v>326</v>
      </c>
      <c r="D303" s="2" t="s">
        <v>14</v>
      </c>
      <c r="E303" s="3" t="n">
        <v>1787</v>
      </c>
      <c r="F303" s="4" t="n">
        <v>1534.6</v>
      </c>
      <c r="G303" s="4" t="n">
        <v>666.6</v>
      </c>
      <c r="H303" s="4"/>
      <c r="I303" s="4" t="n">
        <v>3037</v>
      </c>
      <c r="J303" s="4" t="n">
        <v>2581.3</v>
      </c>
      <c r="K303" s="4" t="n">
        <v>2531.3</v>
      </c>
      <c r="L303" s="4" t="n">
        <f aca="false">IF(COUNT(I303:K303)=0,"",SUM(I303:K303))</f>
        <v>8149.6</v>
      </c>
    </row>
    <row r="304" customFormat="false" ht="15" hidden="false" customHeight="false" outlineLevel="0" collapsed="false">
      <c r="A304" s="2" t="n">
        <v>303</v>
      </c>
      <c r="B304" s="2" t="s">
        <v>310</v>
      </c>
      <c r="C304" s="2" t="s">
        <v>327</v>
      </c>
      <c r="D304" s="2" t="s">
        <v>14</v>
      </c>
      <c r="E304" s="3" t="n">
        <v>123</v>
      </c>
      <c r="F304" s="4" t="n">
        <v>106.2</v>
      </c>
      <c r="G304" s="4" t="n">
        <v>7.8</v>
      </c>
      <c r="H304" s="4"/>
      <c r="I304" s="4" t="n">
        <v>34.6</v>
      </c>
      <c r="J304" s="4" t="n">
        <v>29.4</v>
      </c>
      <c r="K304" s="4" t="n">
        <v>28.8</v>
      </c>
      <c r="L304" s="4" t="n">
        <f aca="false">IF(COUNT(I304:K304)=0,"",SUM(I304:K304))</f>
        <v>92.8</v>
      </c>
    </row>
    <row r="305" customFormat="false" ht="15" hidden="false" customHeight="false" outlineLevel="0" collapsed="false">
      <c r="A305" s="2" t="n">
        <v>304</v>
      </c>
      <c r="B305" s="2" t="s">
        <v>310</v>
      </c>
      <c r="C305" s="8" t="s">
        <v>328</v>
      </c>
      <c r="D305" s="2" t="s">
        <v>14</v>
      </c>
      <c r="E305" s="3"/>
      <c r="F305" s="4" t="n">
        <v>1530.7</v>
      </c>
      <c r="G305" s="4" t="n">
        <v>114.4</v>
      </c>
      <c r="H305" s="4"/>
      <c r="I305" s="4" t="n">
        <v>420</v>
      </c>
      <c r="J305" s="4" t="n">
        <v>420</v>
      </c>
      <c r="K305" s="4" t="n">
        <v>280</v>
      </c>
      <c r="L305" s="4" t="n">
        <f aca="false">IF(COUNT(I305:K305)=0,"",SUM(I305:K305))</f>
        <v>1120</v>
      </c>
    </row>
    <row r="306" customFormat="false" ht="15" hidden="false" customHeight="false" outlineLevel="0" collapsed="false">
      <c r="A306" s="2" t="n">
        <v>305</v>
      </c>
      <c r="B306" s="2" t="s">
        <v>310</v>
      </c>
      <c r="C306" s="8" t="s">
        <v>329</v>
      </c>
      <c r="D306" s="2" t="s">
        <v>14</v>
      </c>
      <c r="E306" s="3"/>
      <c r="F306" s="4" t="n">
        <v>2454</v>
      </c>
      <c r="G306" s="4" t="n">
        <v>143.1</v>
      </c>
      <c r="H306" s="4"/>
      <c r="I306" s="4" t="n">
        <v>540</v>
      </c>
      <c r="J306" s="4" t="n">
        <v>340</v>
      </c>
      <c r="K306" s="4" t="n">
        <v>340</v>
      </c>
      <c r="L306" s="4" t="n">
        <f aca="false">IF(COUNT(I306:K306)=0,"",SUM(I306:K306))</f>
        <v>1220</v>
      </c>
    </row>
    <row r="307" customFormat="false" ht="15" hidden="false" customHeight="false" outlineLevel="0" collapsed="false">
      <c r="A307" s="2" t="n">
        <v>306</v>
      </c>
      <c r="B307" s="2" t="s">
        <v>310</v>
      </c>
      <c r="C307" s="8" t="s">
        <v>330</v>
      </c>
      <c r="D307" s="2" t="s">
        <v>14</v>
      </c>
      <c r="E307" s="3"/>
      <c r="F307" s="4" t="n">
        <v>1298</v>
      </c>
      <c r="G307" s="4" t="n">
        <v>143.1</v>
      </c>
      <c r="H307" s="4"/>
      <c r="I307" s="4" t="n">
        <v>540</v>
      </c>
      <c r="J307" s="4" t="n">
        <v>340</v>
      </c>
      <c r="K307" s="4" t="n">
        <v>340</v>
      </c>
      <c r="L307" s="4" t="n">
        <f aca="false">IF(COUNT(I307:K307)=0,"",SUM(I307:K307))</f>
        <v>1220</v>
      </c>
    </row>
    <row r="308" customFormat="false" ht="15" hidden="false" customHeight="false" outlineLevel="0" collapsed="false">
      <c r="A308" s="2" t="n">
        <v>307</v>
      </c>
      <c r="B308" s="2" t="s">
        <v>310</v>
      </c>
      <c r="C308" s="8" t="s">
        <v>331</v>
      </c>
      <c r="D308" s="2" t="s">
        <v>14</v>
      </c>
      <c r="E308" s="3"/>
      <c r="F308" s="4" t="n">
        <v>2454</v>
      </c>
      <c r="G308" s="4" t="n">
        <v>143.1</v>
      </c>
      <c r="H308" s="4"/>
      <c r="I308" s="4" t="n">
        <v>540</v>
      </c>
      <c r="J308" s="4" t="n">
        <v>340</v>
      </c>
      <c r="K308" s="4" t="n">
        <v>340</v>
      </c>
      <c r="L308" s="4" t="n">
        <f aca="false">IF(COUNT(I308:K308)=0,"",SUM(I308:K308))</f>
        <v>1220</v>
      </c>
    </row>
    <row r="309" customFormat="false" ht="15" hidden="false" customHeight="false" outlineLevel="0" collapsed="false">
      <c r="A309" s="2" t="n">
        <v>308</v>
      </c>
      <c r="B309" s="2" t="s">
        <v>310</v>
      </c>
      <c r="C309" s="8" t="s">
        <v>332</v>
      </c>
      <c r="D309" s="2" t="s">
        <v>14</v>
      </c>
      <c r="E309" s="3"/>
      <c r="F309" s="4" t="n">
        <v>1298</v>
      </c>
      <c r="G309" s="4" t="n">
        <v>143.1</v>
      </c>
      <c r="H309" s="4"/>
      <c r="I309" s="4" t="n">
        <v>540</v>
      </c>
      <c r="J309" s="4" t="n">
        <v>340</v>
      </c>
      <c r="K309" s="4" t="n">
        <v>340</v>
      </c>
      <c r="L309" s="4" t="n">
        <f aca="false">IF(COUNT(I309:K309)=0,"",SUM(I309:K309))</f>
        <v>1220</v>
      </c>
    </row>
    <row r="310" customFormat="false" ht="15" hidden="false" customHeight="false" outlineLevel="0" collapsed="false">
      <c r="A310" s="2" t="n">
        <v>309</v>
      </c>
      <c r="B310" s="2" t="s">
        <v>310</v>
      </c>
      <c r="C310" s="8" t="s">
        <v>333</v>
      </c>
      <c r="D310" s="2" t="s">
        <v>14</v>
      </c>
      <c r="E310" s="3"/>
      <c r="F310" s="4" t="n">
        <v>3911.2</v>
      </c>
      <c r="G310" s="4" t="n">
        <v>3.8</v>
      </c>
      <c r="H310" s="4"/>
      <c r="I310" s="4" t="n">
        <v>17.5</v>
      </c>
      <c r="J310" s="4" t="n">
        <v>0</v>
      </c>
      <c r="K310" s="4" t="n">
        <v>0</v>
      </c>
      <c r="L310" s="4" t="n">
        <f aca="false">IF(COUNT(I310:K310)=0,"",SUM(I310:K310))</f>
        <v>17.5</v>
      </c>
    </row>
    <row r="311" customFormat="false" ht="15" hidden="false" customHeight="false" outlineLevel="0" collapsed="false">
      <c r="A311" s="2" t="n">
        <v>310</v>
      </c>
      <c r="B311" s="2" t="s">
        <v>310</v>
      </c>
      <c r="C311" s="8" t="s">
        <v>334</v>
      </c>
      <c r="D311" s="2" t="s">
        <v>14</v>
      </c>
      <c r="E311" s="3"/>
      <c r="F311" s="4" t="n">
        <v>306.2</v>
      </c>
      <c r="G311" s="4" t="n">
        <v>3.8</v>
      </c>
      <c r="H311" s="4"/>
      <c r="I311" s="4" t="n">
        <v>17.5</v>
      </c>
      <c r="J311" s="4" t="n">
        <v>0</v>
      </c>
      <c r="K311" s="4" t="n">
        <v>0</v>
      </c>
      <c r="L311" s="4" t="n">
        <f aca="false">IF(COUNT(I311:K311)=0,"",SUM(I311:K311))</f>
        <v>17.5</v>
      </c>
    </row>
    <row r="312" customFormat="false" ht="15" hidden="false" customHeight="false" outlineLevel="0" collapsed="false">
      <c r="A312" s="2" t="n">
        <v>311</v>
      </c>
      <c r="B312" s="2" t="s">
        <v>310</v>
      </c>
      <c r="C312" s="8" t="s">
        <v>335</v>
      </c>
      <c r="D312" s="2" t="s">
        <v>14</v>
      </c>
      <c r="E312" s="3"/>
      <c r="F312" s="4" t="n">
        <v>111.2</v>
      </c>
      <c r="G312" s="4" t="n">
        <v>3.8</v>
      </c>
      <c r="H312" s="4"/>
      <c r="I312" s="4" t="n">
        <v>17.5</v>
      </c>
      <c r="J312" s="4" t="n">
        <v>0</v>
      </c>
      <c r="K312" s="4" t="n">
        <v>0</v>
      </c>
      <c r="L312" s="4" t="n">
        <f aca="false">IF(COUNT(I312:K312)=0,"",SUM(I312:K312))</f>
        <v>17.5</v>
      </c>
    </row>
    <row r="313" customFormat="false" ht="15" hidden="false" customHeight="false" outlineLevel="0" collapsed="false">
      <c r="A313" s="2" t="n">
        <v>312</v>
      </c>
      <c r="B313" s="2" t="s">
        <v>310</v>
      </c>
      <c r="C313" s="8" t="s">
        <v>336</v>
      </c>
      <c r="D313" s="2" t="s">
        <v>14</v>
      </c>
      <c r="E313" s="3"/>
      <c r="F313" s="4" t="n">
        <v>3234.8</v>
      </c>
      <c r="G313" s="4" t="n">
        <v>1199.6</v>
      </c>
      <c r="H313" s="4"/>
      <c r="I313" s="4" t="n">
        <v>5582.9</v>
      </c>
      <c r="J313" s="4" t="n">
        <v>4963</v>
      </c>
      <c r="K313" s="4" t="n">
        <v>5222.9</v>
      </c>
      <c r="L313" s="4" t="n">
        <f aca="false">IF(COUNT(I313:K313)=0,"",SUM(I313:K313))</f>
        <v>15768.8</v>
      </c>
    </row>
    <row r="314" customFormat="false" ht="15" hidden="false" customHeight="false" outlineLevel="0" collapsed="false">
      <c r="A314" s="2" t="n">
        <v>313</v>
      </c>
      <c r="B314" s="2" t="s">
        <v>310</v>
      </c>
      <c r="C314" s="8" t="s">
        <v>337</v>
      </c>
      <c r="D314" s="2" t="s">
        <v>14</v>
      </c>
      <c r="E314" s="3"/>
      <c r="F314" s="4" t="n">
        <v>960</v>
      </c>
      <c r="G314" s="4" t="n">
        <v>215.6</v>
      </c>
      <c r="H314" s="4"/>
      <c r="I314" s="4" t="n">
        <v>1336.9</v>
      </c>
      <c r="J314" s="4" t="n">
        <v>1137.2</v>
      </c>
      <c r="K314" s="4" t="n">
        <v>1105.3</v>
      </c>
      <c r="L314" s="4" t="n">
        <f aca="false">IF(COUNT(I314:K314)=0,"",SUM(I314:K314))</f>
        <v>3579.4</v>
      </c>
    </row>
    <row r="315" customFormat="false" ht="15" hidden="false" customHeight="false" outlineLevel="0" collapsed="false">
      <c r="A315" s="2" t="n">
        <v>314</v>
      </c>
      <c r="B315" s="2" t="s">
        <v>310</v>
      </c>
      <c r="C315" s="8" t="s">
        <v>338</v>
      </c>
      <c r="D315" s="2" t="s">
        <v>14</v>
      </c>
      <c r="E315" s="3"/>
      <c r="F315" s="4" t="n">
        <v>2853.5</v>
      </c>
      <c r="G315" s="4" t="n">
        <v>926.8</v>
      </c>
      <c r="H315" s="4"/>
      <c r="I315" s="4" t="n">
        <v>4340</v>
      </c>
      <c r="J315" s="4" t="n">
        <v>3905.6</v>
      </c>
      <c r="K315" s="4" t="n">
        <v>4195.8</v>
      </c>
      <c r="L315" s="4" t="n">
        <f aca="false">IF(COUNT(I315:K315)=0,"",SUM(I315:K315))</f>
        <v>12441.4</v>
      </c>
    </row>
    <row r="316" customFormat="false" ht="15" hidden="false" customHeight="false" outlineLevel="0" collapsed="false">
      <c r="A316" s="2" t="n">
        <v>315</v>
      </c>
      <c r="B316" s="2" t="s">
        <v>310</v>
      </c>
      <c r="C316" s="8" t="s">
        <v>339</v>
      </c>
      <c r="D316" s="2" t="s">
        <v>14</v>
      </c>
      <c r="E316" s="3"/>
      <c r="F316" s="4" t="n">
        <v>1156</v>
      </c>
      <c r="G316" s="4" t="n">
        <v>0</v>
      </c>
      <c r="H316" s="4"/>
      <c r="I316" s="4" t="n">
        <v>0</v>
      </c>
      <c r="J316" s="4" t="n">
        <v>0</v>
      </c>
      <c r="K316" s="4" t="n">
        <v>0</v>
      </c>
      <c r="L316" s="4" t="n">
        <f aca="false">IF(COUNT(I316:K316)=0,"",SUM(I316:K316))</f>
        <v>0</v>
      </c>
    </row>
    <row r="317" customFormat="false" ht="15" hidden="false" customHeight="false" outlineLevel="0" collapsed="false">
      <c r="A317" s="2" t="n">
        <v>316</v>
      </c>
      <c r="B317" s="2" t="s">
        <v>310</v>
      </c>
      <c r="C317" s="8" t="s">
        <v>340</v>
      </c>
      <c r="D317" s="2" t="s">
        <v>14</v>
      </c>
      <c r="E317" s="3"/>
      <c r="F317" s="4" t="n">
        <v>2880</v>
      </c>
      <c r="G317" s="4" t="n">
        <v>215.6</v>
      </c>
      <c r="H317" s="4"/>
      <c r="I317" s="4" t="n">
        <v>1336.9</v>
      </c>
      <c r="J317" s="4" t="n">
        <v>1137.2</v>
      </c>
      <c r="K317" s="4" t="n">
        <v>1105.3</v>
      </c>
      <c r="L317" s="4" t="n">
        <f aca="false">IF(COUNT(I317:K317)=0,"",SUM(I317:K317))</f>
        <v>3579.4</v>
      </c>
    </row>
    <row r="318" customFormat="false" ht="15" hidden="false" customHeight="false" outlineLevel="0" collapsed="false">
      <c r="A318" s="2" t="n">
        <v>317</v>
      </c>
      <c r="B318" s="2" t="s">
        <v>310</v>
      </c>
      <c r="C318" s="8" t="s">
        <v>341</v>
      </c>
      <c r="D318" s="2" t="s">
        <v>14</v>
      </c>
      <c r="E318" s="3"/>
      <c r="F318" s="4" t="n">
        <v>4917.4</v>
      </c>
      <c r="G318" s="4" t="n">
        <v>1097.8</v>
      </c>
      <c r="H318" s="4"/>
      <c r="I318" s="4" t="n">
        <v>4996</v>
      </c>
      <c r="J318" s="4" t="n">
        <v>4275.8</v>
      </c>
      <c r="K318" s="4" t="n">
        <v>4567.6</v>
      </c>
      <c r="L318" s="4" t="n">
        <f aca="false">IF(COUNT(I318:K318)=0,"",SUM(I318:K318))</f>
        <v>13839.4</v>
      </c>
    </row>
    <row r="319" customFormat="false" ht="15" hidden="false" customHeight="false" outlineLevel="0" collapsed="false">
      <c r="A319" s="2" t="n">
        <v>318</v>
      </c>
      <c r="B319" s="2" t="s">
        <v>310</v>
      </c>
      <c r="C319" s="8" t="s">
        <v>342</v>
      </c>
      <c r="D319" s="2" t="s">
        <v>14</v>
      </c>
      <c r="E319" s="3"/>
      <c r="F319" s="4" t="n">
        <v>14517.4</v>
      </c>
      <c r="G319" s="4" t="n">
        <v>1097.8</v>
      </c>
      <c r="H319" s="4"/>
      <c r="I319" s="4" t="n">
        <v>4996</v>
      </c>
      <c r="J319" s="4" t="n">
        <v>4275.8</v>
      </c>
      <c r="K319" s="4" t="n">
        <v>4567.6</v>
      </c>
      <c r="L319" s="4" t="n">
        <f aca="false">IF(COUNT(I319:K319)=0,"",SUM(I319:K319))</f>
        <v>13839.4</v>
      </c>
    </row>
    <row r="320" customFormat="false" ht="15" hidden="false" customHeight="false" outlineLevel="0" collapsed="false">
      <c r="A320" s="2" t="n">
        <v>319</v>
      </c>
      <c r="B320" s="2" t="s">
        <v>310</v>
      </c>
      <c r="C320" s="8" t="s">
        <v>343</v>
      </c>
      <c r="D320" s="2" t="s">
        <v>14</v>
      </c>
      <c r="E320" s="3" t="n">
        <v>1027</v>
      </c>
      <c r="F320" s="4" t="n">
        <v>210.7</v>
      </c>
      <c r="G320" s="4" t="n">
        <v>232.7</v>
      </c>
      <c r="H320" s="4"/>
      <c r="I320" s="4" t="n">
        <v>0</v>
      </c>
      <c r="J320" s="4" t="n">
        <v>0</v>
      </c>
      <c r="K320" s="4" t="n">
        <v>0</v>
      </c>
      <c r="L320" s="4" t="n">
        <f aca="false">IF(COUNT(I320:K320)=0,"",SUM(I320:K320))</f>
        <v>0</v>
      </c>
    </row>
    <row r="321" customFormat="false" ht="15" hidden="false" customHeight="false" outlineLevel="0" collapsed="false">
      <c r="A321" s="2" t="n">
        <v>320</v>
      </c>
      <c r="B321" s="2" t="s">
        <v>310</v>
      </c>
      <c r="C321" s="8" t="s">
        <v>344</v>
      </c>
      <c r="D321" s="2" t="s">
        <v>14</v>
      </c>
      <c r="E321" s="3" t="n">
        <v>1403</v>
      </c>
      <c r="F321" s="4" t="n">
        <v>746</v>
      </c>
      <c r="G321" s="4" t="n">
        <v>0</v>
      </c>
      <c r="H321" s="4"/>
      <c r="I321" s="4" t="n">
        <v>0</v>
      </c>
      <c r="J321" s="4" t="n">
        <v>0</v>
      </c>
      <c r="K321" s="4" t="n">
        <v>0</v>
      </c>
      <c r="L321" s="4" t="n">
        <f aca="false">IF(COUNT(I321:K321)=0,"",SUM(I321:K321))</f>
        <v>0</v>
      </c>
    </row>
    <row r="322" customFormat="false" ht="15" hidden="false" customHeight="false" outlineLevel="0" collapsed="false">
      <c r="A322" s="2" t="n">
        <v>321</v>
      </c>
      <c r="B322" s="2" t="s">
        <v>310</v>
      </c>
      <c r="C322" s="8" t="s">
        <v>345</v>
      </c>
      <c r="D322" s="2" t="s">
        <v>14</v>
      </c>
      <c r="E322" s="3"/>
      <c r="F322" s="4" t="n">
        <v>499</v>
      </c>
      <c r="G322" s="4" t="n">
        <v>0</v>
      </c>
      <c r="H322" s="4"/>
      <c r="I322" s="4" t="n">
        <v>0</v>
      </c>
      <c r="J322" s="4" t="n">
        <v>0</v>
      </c>
      <c r="K322" s="4" t="n">
        <v>0</v>
      </c>
      <c r="L322" s="4" t="n">
        <f aca="false">IF(COUNT(I322:K322)=0,"",SUM(I322:K322))</f>
        <v>0</v>
      </c>
    </row>
    <row r="323" customFormat="false" ht="15" hidden="false" customHeight="false" outlineLevel="0" collapsed="false">
      <c r="A323" s="2" t="n">
        <v>322</v>
      </c>
      <c r="B323" s="2" t="s">
        <v>310</v>
      </c>
      <c r="C323" s="8" t="s">
        <v>346</v>
      </c>
      <c r="D323" s="2" t="s">
        <v>14</v>
      </c>
      <c r="E323" s="3"/>
      <c r="F323" s="4" t="n">
        <v>1144</v>
      </c>
      <c r="G323" s="4" t="n">
        <v>0</v>
      </c>
      <c r="H323" s="4"/>
      <c r="I323" s="4" t="n">
        <v>0</v>
      </c>
      <c r="J323" s="4" t="n">
        <v>0</v>
      </c>
      <c r="K323" s="4" t="n">
        <v>0</v>
      </c>
      <c r="L323" s="4" t="n">
        <f aca="false">IF(COUNT(I323:K323)=0,"",SUM(I323:K323))</f>
        <v>0</v>
      </c>
    </row>
    <row r="324" customFormat="false" ht="15" hidden="false" customHeight="false" outlineLevel="0" collapsed="false">
      <c r="A324" s="2" t="n">
        <v>323</v>
      </c>
      <c r="B324" s="2" t="s">
        <v>310</v>
      </c>
      <c r="C324" s="8" t="s">
        <v>347</v>
      </c>
      <c r="D324" s="2" t="s">
        <v>14</v>
      </c>
      <c r="E324" s="3" t="n">
        <v>441</v>
      </c>
      <c r="F324" s="4" t="n">
        <v>1729</v>
      </c>
      <c r="G324" s="4" t="n">
        <v>0</v>
      </c>
      <c r="H324" s="4"/>
      <c r="I324" s="4" t="n">
        <v>0</v>
      </c>
      <c r="J324" s="4" t="n">
        <v>0</v>
      </c>
      <c r="K324" s="4" t="n">
        <v>0</v>
      </c>
      <c r="L324" s="4" t="n">
        <f aca="false">IF(COUNT(I324:K324)=0,"",SUM(I324:K324))</f>
        <v>0</v>
      </c>
    </row>
    <row r="325" customFormat="false" ht="15" hidden="false" customHeight="false" outlineLevel="0" collapsed="false">
      <c r="A325" s="2" t="n">
        <v>324</v>
      </c>
      <c r="B325" s="2" t="s">
        <v>310</v>
      </c>
      <c r="C325" s="8" t="s">
        <v>348</v>
      </c>
      <c r="D325" s="2" t="s">
        <v>14</v>
      </c>
      <c r="E325" s="3"/>
      <c r="F325" s="4" t="n">
        <v>2435.8</v>
      </c>
      <c r="G325" s="4" t="n">
        <v>1049.2</v>
      </c>
      <c r="H325" s="4"/>
      <c r="I325" s="4" t="n">
        <v>4786</v>
      </c>
      <c r="J325" s="4" t="n">
        <v>4165.8</v>
      </c>
      <c r="K325" s="4" t="n">
        <v>4457.6</v>
      </c>
      <c r="L325" s="4" t="n">
        <f aca="false">IF(COUNT(I325:K325)=0,"",SUM(I325:K325))</f>
        <v>13409.4</v>
      </c>
    </row>
    <row r="326" customFormat="false" ht="15" hidden="false" customHeight="false" outlineLevel="0" collapsed="false">
      <c r="A326" s="2" t="n">
        <v>325</v>
      </c>
      <c r="B326" s="2" t="s">
        <v>310</v>
      </c>
      <c r="C326" s="8" t="s">
        <v>349</v>
      </c>
      <c r="D326" s="2" t="s">
        <v>14</v>
      </c>
      <c r="E326" s="3" t="n">
        <v>2830</v>
      </c>
      <c r="F326" s="4" t="n">
        <v>2613</v>
      </c>
      <c r="G326" s="4" t="n">
        <v>293.5</v>
      </c>
      <c r="H326" s="4"/>
      <c r="I326" s="4" t="n">
        <v>1336.9</v>
      </c>
      <c r="J326" s="4" t="n">
        <v>1137.2</v>
      </c>
      <c r="K326" s="4" t="n">
        <v>1105.3</v>
      </c>
      <c r="L326" s="4" t="n">
        <f aca="false">IF(COUNT(I326:K326)=0,"",SUM(I326:K326))</f>
        <v>3579.4</v>
      </c>
    </row>
    <row r="327" customFormat="false" ht="15" hidden="false" customHeight="false" outlineLevel="0" collapsed="false">
      <c r="A327" s="2" t="n">
        <v>326</v>
      </c>
      <c r="B327" s="2" t="s">
        <v>310</v>
      </c>
      <c r="C327" s="8" t="s">
        <v>350</v>
      </c>
      <c r="D327" s="2" t="s">
        <v>14</v>
      </c>
      <c r="E327" s="3" t="n">
        <v>694</v>
      </c>
      <c r="F327" s="4" t="n">
        <v>694</v>
      </c>
      <c r="G327" s="4" t="n">
        <v>0</v>
      </c>
      <c r="H327" s="4"/>
      <c r="I327" s="4" t="n">
        <v>0</v>
      </c>
      <c r="J327" s="4" t="n">
        <v>0</v>
      </c>
      <c r="K327" s="4" t="n">
        <v>0</v>
      </c>
      <c r="L327" s="4" t="n">
        <f aca="false">IF(COUNT(I327:K327)=0,"",SUM(I327:K327))</f>
        <v>0</v>
      </c>
    </row>
    <row r="328" customFormat="false" ht="15" hidden="false" customHeight="false" outlineLevel="0" collapsed="false">
      <c r="A328" s="2" t="n">
        <v>327</v>
      </c>
      <c r="B328" s="2" t="s">
        <v>310</v>
      </c>
      <c r="C328" s="8" t="s">
        <v>351</v>
      </c>
      <c r="D328" s="2" t="s">
        <v>14</v>
      </c>
      <c r="E328" s="3" t="n">
        <v>8</v>
      </c>
      <c r="F328" s="4" t="n">
        <v>608</v>
      </c>
      <c r="G328" s="4" t="n">
        <v>0</v>
      </c>
      <c r="H328" s="4"/>
      <c r="I328" s="4" t="n">
        <v>0</v>
      </c>
      <c r="J328" s="4" t="n">
        <v>0</v>
      </c>
      <c r="K328" s="4" t="n">
        <v>0</v>
      </c>
      <c r="L328" s="4" t="n">
        <f aca="false">IF(COUNT(I328:K328)=0,"",SUM(I328:K328))</f>
        <v>0</v>
      </c>
    </row>
    <row r="329" customFormat="false" ht="15" hidden="false" customHeight="false" outlineLevel="0" collapsed="false">
      <c r="A329" s="2" t="n">
        <v>328</v>
      </c>
      <c r="B329" s="2" t="s">
        <v>310</v>
      </c>
      <c r="C329" s="8" t="s">
        <v>352</v>
      </c>
      <c r="D329" s="2" t="s">
        <v>14</v>
      </c>
      <c r="E329" s="3"/>
      <c r="F329" s="4" t="n">
        <v>832</v>
      </c>
      <c r="G329" s="4" t="n">
        <v>0</v>
      </c>
      <c r="H329" s="4"/>
      <c r="I329" s="4" t="n">
        <v>0</v>
      </c>
      <c r="J329" s="4" t="n">
        <v>0</v>
      </c>
      <c r="K329" s="4" t="n">
        <v>0</v>
      </c>
      <c r="L329" s="4" t="n">
        <f aca="false">IF(COUNT(I329:K329)=0,"",SUM(I329:K329))</f>
        <v>0</v>
      </c>
    </row>
    <row r="330" customFormat="false" ht="15" hidden="false" customHeight="false" outlineLevel="0" collapsed="false">
      <c r="A330" s="2" t="n">
        <v>329</v>
      </c>
      <c r="B330" s="2" t="s">
        <v>310</v>
      </c>
      <c r="C330" s="8" t="s">
        <v>353</v>
      </c>
      <c r="D330" s="2" t="s">
        <v>14</v>
      </c>
      <c r="E330" s="3"/>
      <c r="F330" s="4" t="n">
        <v>299.9</v>
      </c>
      <c r="G330" s="4" t="n">
        <v>5.4</v>
      </c>
      <c r="H330" s="4"/>
      <c r="I330" s="4" t="n">
        <v>25</v>
      </c>
      <c r="J330" s="4" t="n">
        <v>0</v>
      </c>
      <c r="K330" s="4" t="n">
        <v>0</v>
      </c>
      <c r="L330" s="4" t="n">
        <f aca="false">IF(COUNT(I330:K330)=0,"",SUM(I330:K330))</f>
        <v>25</v>
      </c>
    </row>
    <row r="331" customFormat="false" ht="15" hidden="false" customHeight="false" outlineLevel="0" collapsed="false">
      <c r="A331" s="2" t="n">
        <v>330</v>
      </c>
      <c r="B331" s="2" t="s">
        <v>310</v>
      </c>
      <c r="C331" s="8" t="s">
        <v>354</v>
      </c>
      <c r="D331" s="2" t="s">
        <v>14</v>
      </c>
      <c r="E331" s="3"/>
      <c r="F331" s="4" t="n">
        <v>839.3</v>
      </c>
      <c r="G331" s="4" t="n">
        <v>2.9</v>
      </c>
      <c r="H331" s="4"/>
      <c r="I331" s="4" t="n">
        <v>10</v>
      </c>
      <c r="J331" s="4" t="n">
        <v>10</v>
      </c>
      <c r="K331" s="4" t="n">
        <v>10</v>
      </c>
      <c r="L331" s="4" t="n">
        <f aca="false">IF(COUNT(I331:K331)=0,"",SUM(I331:K331))</f>
        <v>30</v>
      </c>
    </row>
    <row r="332" customFormat="false" ht="15" hidden="false" customHeight="false" outlineLevel="0" collapsed="false">
      <c r="A332" s="2" t="n">
        <v>331</v>
      </c>
      <c r="B332" s="2" t="s">
        <v>310</v>
      </c>
      <c r="C332" s="8" t="s">
        <v>355</v>
      </c>
      <c r="D332" s="2" t="s">
        <v>14</v>
      </c>
      <c r="E332" s="3"/>
      <c r="F332" s="4" t="n">
        <v>839.3</v>
      </c>
      <c r="G332" s="4" t="n">
        <v>2.9</v>
      </c>
      <c r="H332" s="4"/>
      <c r="I332" s="4" t="n">
        <v>10</v>
      </c>
      <c r="J332" s="4" t="n">
        <v>10</v>
      </c>
      <c r="K332" s="4" t="n">
        <v>10</v>
      </c>
      <c r="L332" s="4" t="n">
        <f aca="false">IF(COUNT(I332:K332)=0,"",SUM(I332:K332))</f>
        <v>30</v>
      </c>
    </row>
    <row r="333" customFormat="false" ht="15" hidden="false" customHeight="false" outlineLevel="0" collapsed="false">
      <c r="A333" s="2" t="n">
        <v>332</v>
      </c>
      <c r="B333" s="2" t="s">
        <v>310</v>
      </c>
      <c r="C333" s="8" t="s">
        <v>356</v>
      </c>
      <c r="D333" s="2" t="s">
        <v>14</v>
      </c>
      <c r="E333" s="3"/>
      <c r="F333" s="4" t="n">
        <v>839.3</v>
      </c>
      <c r="G333" s="4" t="n">
        <v>2.9</v>
      </c>
      <c r="H333" s="4"/>
      <c r="I333" s="4" t="n">
        <v>10</v>
      </c>
      <c r="J333" s="4" t="n">
        <v>10</v>
      </c>
      <c r="K333" s="4" t="n">
        <v>10</v>
      </c>
      <c r="L333" s="4" t="n">
        <f aca="false">IF(COUNT(I333:K333)=0,"",SUM(I333:K333))</f>
        <v>30</v>
      </c>
    </row>
    <row r="334" customFormat="false" ht="15" hidden="false" customHeight="false" outlineLevel="0" collapsed="false">
      <c r="A334" s="2" t="n">
        <v>333</v>
      </c>
      <c r="B334" s="2" t="s">
        <v>310</v>
      </c>
      <c r="C334" s="8" t="s">
        <v>357</v>
      </c>
      <c r="D334" s="2" t="s">
        <v>14</v>
      </c>
      <c r="E334" s="3"/>
      <c r="F334" s="4" t="n">
        <v>839.3</v>
      </c>
      <c r="G334" s="4" t="n">
        <v>2.9</v>
      </c>
      <c r="H334" s="4"/>
      <c r="I334" s="4" t="n">
        <v>10</v>
      </c>
      <c r="J334" s="4" t="n">
        <v>10</v>
      </c>
      <c r="K334" s="4" t="n">
        <v>10</v>
      </c>
      <c r="L334" s="4" t="n">
        <f aca="false">IF(COUNT(I334:K334)=0,"",SUM(I334:K334))</f>
        <v>30</v>
      </c>
    </row>
    <row r="335" customFormat="false" ht="15" hidden="false" customHeight="false" outlineLevel="0" collapsed="false">
      <c r="A335" s="2" t="n">
        <v>334</v>
      </c>
      <c r="B335" s="2" t="s">
        <v>310</v>
      </c>
      <c r="C335" s="8" t="s">
        <v>358</v>
      </c>
      <c r="D335" s="2" t="s">
        <v>14</v>
      </c>
      <c r="E335" s="3"/>
      <c r="F335" s="4" t="n">
        <v>214</v>
      </c>
      <c r="G335" s="4" t="n">
        <v>0</v>
      </c>
      <c r="H335" s="4"/>
      <c r="I335" s="4" t="n">
        <v>0</v>
      </c>
      <c r="J335" s="4" t="n">
        <v>0</v>
      </c>
      <c r="K335" s="4" t="n">
        <v>0</v>
      </c>
      <c r="L335" s="4" t="n">
        <f aca="false">IF(COUNT(I335:K335)=0,"",SUM(I335:K335))</f>
        <v>0</v>
      </c>
    </row>
    <row r="336" customFormat="false" ht="15" hidden="false" customHeight="false" outlineLevel="0" collapsed="false">
      <c r="A336" s="2" t="n">
        <v>335</v>
      </c>
      <c r="B336" s="2" t="s">
        <v>310</v>
      </c>
      <c r="C336" s="8" t="s">
        <v>359</v>
      </c>
      <c r="D336" s="2" t="s">
        <v>14</v>
      </c>
      <c r="E336" s="3" t="n">
        <v>5096</v>
      </c>
      <c r="F336" s="4" t="n">
        <v>5059.4</v>
      </c>
      <c r="G336" s="4" t="n">
        <v>57.8</v>
      </c>
      <c r="H336" s="4"/>
      <c r="I336" s="4" t="n">
        <v>263.6</v>
      </c>
      <c r="J336" s="4" t="n">
        <v>223.8</v>
      </c>
      <c r="K336" s="4" t="n">
        <v>219.5</v>
      </c>
      <c r="L336" s="4" t="n">
        <f aca="false">IF(COUNT(I336:K336)=0,"",SUM(I336:K336))</f>
        <v>706.9</v>
      </c>
    </row>
    <row r="337" customFormat="false" ht="15" hidden="false" customHeight="false" outlineLevel="0" collapsed="false">
      <c r="A337" s="2" t="n">
        <v>336</v>
      </c>
      <c r="B337" s="2" t="s">
        <v>310</v>
      </c>
      <c r="C337" s="8" t="s">
        <v>360</v>
      </c>
      <c r="D337" s="2" t="s">
        <v>14</v>
      </c>
      <c r="E337" s="3" t="n">
        <v>5146</v>
      </c>
      <c r="F337" s="4" t="n">
        <v>5837.6</v>
      </c>
      <c r="G337" s="4" t="n">
        <v>235.7</v>
      </c>
      <c r="H337" s="4"/>
      <c r="I337" s="4" t="n">
        <v>1073.3</v>
      </c>
      <c r="J337" s="4" t="n">
        <v>913.4</v>
      </c>
      <c r="K337" s="4" t="n">
        <v>885.8</v>
      </c>
      <c r="L337" s="4" t="n">
        <f aca="false">IF(COUNT(I337:K337)=0,"",SUM(I337:K337))</f>
        <v>2872.5</v>
      </c>
    </row>
    <row r="338" customFormat="false" ht="15" hidden="false" customHeight="false" outlineLevel="0" collapsed="false">
      <c r="A338" s="2" t="n">
        <v>337</v>
      </c>
      <c r="B338" s="2" t="s">
        <v>310</v>
      </c>
      <c r="C338" s="8" t="s">
        <v>361</v>
      </c>
      <c r="D338" s="2" t="s">
        <v>14</v>
      </c>
      <c r="E338" s="3"/>
      <c r="F338" s="4" t="n">
        <v>1802.3</v>
      </c>
      <c r="G338" s="4" t="n">
        <v>45.6</v>
      </c>
      <c r="H338" s="4"/>
      <c r="I338" s="4" t="n">
        <v>200</v>
      </c>
      <c r="J338" s="4" t="n">
        <v>100</v>
      </c>
      <c r="K338" s="4" t="n">
        <v>100</v>
      </c>
      <c r="L338" s="4" t="n">
        <f aca="false">IF(COUNT(I338:K338)=0,"",SUM(I338:K338))</f>
        <v>400</v>
      </c>
    </row>
    <row r="339" customFormat="false" ht="15" hidden="false" customHeight="false" outlineLevel="0" collapsed="false">
      <c r="A339" s="2" t="n">
        <v>338</v>
      </c>
      <c r="B339" s="2" t="s">
        <v>310</v>
      </c>
      <c r="C339" s="8" t="s">
        <v>362</v>
      </c>
      <c r="D339" s="2" t="s">
        <v>14</v>
      </c>
      <c r="E339" s="3"/>
      <c r="F339" s="4" t="n">
        <v>2802.3</v>
      </c>
      <c r="G339" s="4" t="n">
        <v>45.6</v>
      </c>
      <c r="H339" s="4"/>
      <c r="I339" s="4" t="n">
        <v>200</v>
      </c>
      <c r="J339" s="4" t="n">
        <v>100</v>
      </c>
      <c r="K339" s="4" t="n">
        <v>100</v>
      </c>
      <c r="L339" s="4" t="n">
        <f aca="false">IF(COUNT(I339:K339)=0,"",SUM(I339:K339))</f>
        <v>400</v>
      </c>
    </row>
    <row r="340" customFormat="false" ht="15" hidden="false" customHeight="false" outlineLevel="0" collapsed="false">
      <c r="A340" s="2" t="n">
        <v>339</v>
      </c>
      <c r="B340" s="2" t="s">
        <v>310</v>
      </c>
      <c r="C340" s="8" t="s">
        <v>363</v>
      </c>
      <c r="D340" s="2" t="s">
        <v>14</v>
      </c>
      <c r="E340" s="3" t="n">
        <v>746</v>
      </c>
      <c r="F340" s="4" t="n">
        <v>745</v>
      </c>
      <c r="G340" s="4" t="n">
        <v>0</v>
      </c>
      <c r="H340" s="4"/>
      <c r="I340" s="4" t="n">
        <v>0</v>
      </c>
      <c r="J340" s="4" t="n">
        <v>0</v>
      </c>
      <c r="K340" s="4" t="n">
        <v>0</v>
      </c>
      <c r="L340" s="4" t="n">
        <f aca="false">IF(COUNT(I340:K340)=0,"",SUM(I340:K340))</f>
        <v>0</v>
      </c>
    </row>
    <row r="341" customFormat="false" ht="15" hidden="false" customHeight="false" outlineLevel="0" collapsed="false">
      <c r="A341" s="2" t="n">
        <v>340</v>
      </c>
      <c r="B341" s="2" t="s">
        <v>310</v>
      </c>
      <c r="C341" s="8" t="s">
        <v>364</v>
      </c>
      <c r="D341" s="2" t="s">
        <v>14</v>
      </c>
      <c r="E341" s="3" t="n">
        <v>119</v>
      </c>
      <c r="F341" s="4" t="n">
        <v>1198</v>
      </c>
      <c r="G341" s="4" t="n">
        <v>0</v>
      </c>
      <c r="H341" s="4"/>
      <c r="I341" s="4" t="n">
        <v>0</v>
      </c>
      <c r="J341" s="4" t="n">
        <v>0</v>
      </c>
      <c r="K341" s="4" t="n">
        <v>0</v>
      </c>
      <c r="L341" s="4" t="n">
        <f aca="false">IF(COUNT(I341:K341)=0,"",SUM(I341:K341))</f>
        <v>0</v>
      </c>
    </row>
    <row r="342" customFormat="false" ht="15" hidden="false" customHeight="false" outlineLevel="0" collapsed="false">
      <c r="A342" s="2" t="n">
        <v>341</v>
      </c>
      <c r="B342" s="2" t="s">
        <v>310</v>
      </c>
      <c r="C342" s="8" t="s">
        <v>365</v>
      </c>
      <c r="D342" s="2" t="s">
        <v>14</v>
      </c>
      <c r="E342" s="3"/>
      <c r="F342" s="4" t="n">
        <v>1802.3</v>
      </c>
      <c r="G342" s="4" t="n">
        <v>45.6</v>
      </c>
      <c r="H342" s="4"/>
      <c r="I342" s="4" t="n">
        <v>200</v>
      </c>
      <c r="J342" s="4" t="n">
        <v>100</v>
      </c>
      <c r="K342" s="4" t="n">
        <v>100</v>
      </c>
      <c r="L342" s="4" t="n">
        <f aca="false">IF(COUNT(I342:K342)=0,"",SUM(I342:K342))</f>
        <v>400</v>
      </c>
    </row>
    <row r="343" customFormat="false" ht="15" hidden="false" customHeight="false" outlineLevel="0" collapsed="false">
      <c r="A343" s="2" t="n">
        <v>342</v>
      </c>
      <c r="B343" s="2" t="s">
        <v>310</v>
      </c>
      <c r="C343" s="8" t="s">
        <v>366</v>
      </c>
      <c r="D343" s="2" t="s">
        <v>14</v>
      </c>
      <c r="E343" s="3"/>
      <c r="F343" s="4" t="n">
        <v>1802.3</v>
      </c>
      <c r="G343" s="4" t="n">
        <v>45.6</v>
      </c>
      <c r="H343" s="4"/>
      <c r="I343" s="4" t="n">
        <v>200</v>
      </c>
      <c r="J343" s="4" t="n">
        <v>100</v>
      </c>
      <c r="K343" s="4" t="n">
        <v>100</v>
      </c>
      <c r="L343" s="4" t="n">
        <f aca="false">IF(COUNT(I343:K343)=0,"",SUM(I343:K343))</f>
        <v>400</v>
      </c>
    </row>
    <row r="344" customFormat="false" ht="15" hidden="false" customHeight="false" outlineLevel="0" collapsed="false">
      <c r="A344" s="2" t="n">
        <v>343</v>
      </c>
      <c r="B344" s="2" t="s">
        <v>310</v>
      </c>
      <c r="C344" s="8" t="s">
        <v>367</v>
      </c>
      <c r="D344" s="2" t="s">
        <v>14</v>
      </c>
      <c r="E344" s="3"/>
      <c r="F344" s="4" t="n">
        <v>3234.8</v>
      </c>
      <c r="G344" s="4" t="n">
        <v>1199.6</v>
      </c>
      <c r="H344" s="4"/>
      <c r="I344" s="4" t="n">
        <v>5582.9</v>
      </c>
      <c r="J344" s="4" t="n">
        <v>4963</v>
      </c>
      <c r="K344" s="4" t="n">
        <v>5222.9</v>
      </c>
      <c r="L344" s="4" t="n">
        <f aca="false">IF(COUNT(I344:K344)=0,"",SUM(I344:K344))</f>
        <v>15768.8</v>
      </c>
    </row>
    <row r="345" customFormat="false" ht="15" hidden="false" customHeight="false" outlineLevel="0" collapsed="false">
      <c r="A345" s="2" t="n">
        <v>344</v>
      </c>
      <c r="B345" s="2" t="s">
        <v>310</v>
      </c>
      <c r="C345" s="8" t="s">
        <v>368</v>
      </c>
      <c r="D345" s="2" t="s">
        <v>14</v>
      </c>
      <c r="E345" s="3"/>
      <c r="F345" s="4" t="n">
        <v>2903</v>
      </c>
      <c r="G345" s="4" t="n">
        <v>7.6</v>
      </c>
      <c r="H345" s="4"/>
      <c r="I345" s="4" t="n">
        <v>34.5</v>
      </c>
      <c r="J345" s="4" t="n">
        <v>29.2</v>
      </c>
      <c r="K345" s="4" t="n">
        <v>28.6</v>
      </c>
      <c r="L345" s="4" t="n">
        <f aca="false">IF(COUNT(I345:K345)=0,"",SUM(I345:K345))</f>
        <v>92.3</v>
      </c>
    </row>
    <row r="346" customFormat="false" ht="15" hidden="false" customHeight="false" outlineLevel="0" collapsed="false">
      <c r="A346" s="2" t="n">
        <v>345</v>
      </c>
      <c r="B346" s="2" t="s">
        <v>310</v>
      </c>
      <c r="C346" s="8" t="s">
        <v>369</v>
      </c>
      <c r="D346" s="2" t="s">
        <v>14</v>
      </c>
      <c r="E346" s="3" t="n">
        <v>1584</v>
      </c>
      <c r="F346" s="4" t="n">
        <v>1587</v>
      </c>
      <c r="G346" s="4" t="n">
        <v>7.6</v>
      </c>
      <c r="H346" s="4"/>
      <c r="I346" s="4" t="n">
        <v>34.5</v>
      </c>
      <c r="J346" s="4" t="n">
        <v>29.2</v>
      </c>
      <c r="K346" s="4" t="n">
        <v>28.6</v>
      </c>
      <c r="L346" s="4" t="n">
        <f aca="false">IF(COUNT(I346:K346)=0,"",SUM(I346:K346))</f>
        <v>92.3</v>
      </c>
    </row>
    <row r="347" customFormat="false" ht="15" hidden="false" customHeight="false" outlineLevel="0" collapsed="false">
      <c r="A347" s="2" t="n">
        <v>346</v>
      </c>
      <c r="B347" s="2" t="s">
        <v>310</v>
      </c>
      <c r="C347" s="8" t="s">
        <v>370</v>
      </c>
      <c r="D347" s="2" t="s">
        <v>14</v>
      </c>
      <c r="E347" s="3"/>
      <c r="F347" s="4" t="n">
        <v>1807</v>
      </c>
      <c r="G347" s="4" t="n">
        <v>7.6</v>
      </c>
      <c r="H347" s="4"/>
      <c r="I347" s="4" t="n">
        <v>34.5</v>
      </c>
      <c r="J347" s="4" t="n">
        <v>29.2</v>
      </c>
      <c r="K347" s="4" t="n">
        <v>28.6</v>
      </c>
      <c r="L347" s="4" t="n">
        <f aca="false">IF(COUNT(I347:K347)=0,"",SUM(I347:K347))</f>
        <v>92.3</v>
      </c>
    </row>
    <row r="348" customFormat="false" ht="15" hidden="false" customHeight="false" outlineLevel="0" collapsed="false">
      <c r="A348" s="2" t="n">
        <v>347</v>
      </c>
      <c r="B348" s="2" t="s">
        <v>371</v>
      </c>
      <c r="C348" s="2" t="s">
        <v>372</v>
      </c>
      <c r="D348" s="2" t="s">
        <v>14</v>
      </c>
      <c r="E348" s="3" t="n">
        <v>7</v>
      </c>
      <c r="F348" s="4" t="n">
        <v>64789.7</v>
      </c>
      <c r="G348" s="4" t="n">
        <v>2466.6</v>
      </c>
      <c r="H348" s="4" t="n">
        <v>593</v>
      </c>
      <c r="I348" s="4" t="n">
        <v>11236.9</v>
      </c>
      <c r="J348" s="4" t="n">
        <v>9551</v>
      </c>
      <c r="K348" s="4" t="n">
        <v>9365.9</v>
      </c>
      <c r="L348" s="4" t="n">
        <f aca="false">IF(COUNT(I348:K348)=0,"",SUM(I348:K348))</f>
        <v>30153.8</v>
      </c>
    </row>
    <row r="349" customFormat="false" ht="15" hidden="false" customHeight="false" outlineLevel="0" collapsed="false">
      <c r="A349" s="2" t="n">
        <v>348</v>
      </c>
      <c r="B349" s="2" t="s">
        <v>371</v>
      </c>
      <c r="C349" s="2" t="s">
        <v>373</v>
      </c>
      <c r="D349" s="2" t="s">
        <v>14</v>
      </c>
      <c r="E349" s="3"/>
      <c r="F349" s="4" t="n">
        <v>0</v>
      </c>
      <c r="G349" s="4" t="n">
        <v>0</v>
      </c>
      <c r="H349" s="4" t="n">
        <v>-1</v>
      </c>
      <c r="I349" s="4" t="n">
        <v>0</v>
      </c>
      <c r="J349" s="4" t="n">
        <v>0</v>
      </c>
      <c r="K349" s="4" t="n">
        <v>0</v>
      </c>
      <c r="L349" s="4" t="n">
        <f aca="false">IF(COUNT(I349:K349)=0,"",SUM(I349:K349))</f>
        <v>0</v>
      </c>
    </row>
    <row r="350" customFormat="false" ht="15" hidden="false" customHeight="false" outlineLevel="0" collapsed="false">
      <c r="A350" s="2" t="n">
        <v>349</v>
      </c>
      <c r="B350" s="2" t="s">
        <v>371</v>
      </c>
      <c r="C350" s="2" t="s">
        <v>374</v>
      </c>
      <c r="D350" s="2" t="s">
        <v>14</v>
      </c>
      <c r="E350" s="3" t="n">
        <v>3002</v>
      </c>
      <c r="F350" s="4" t="n">
        <v>3070.1</v>
      </c>
      <c r="G350" s="4" t="n">
        <v>141.1</v>
      </c>
      <c r="H350" s="4" t="n">
        <v>131</v>
      </c>
      <c r="I350" s="4" t="n">
        <v>641.8</v>
      </c>
      <c r="J350" s="4" t="n">
        <v>544.5</v>
      </c>
      <c r="K350" s="4" t="n">
        <v>548.6</v>
      </c>
      <c r="L350" s="4" t="n">
        <f aca="false">IF(COUNT(I350:K350)=0,"",SUM(I350:K350))</f>
        <v>1734.9</v>
      </c>
    </row>
    <row r="351" customFormat="false" ht="15" hidden="false" customHeight="false" outlineLevel="0" collapsed="false">
      <c r="A351" s="2" t="n">
        <v>350</v>
      </c>
      <c r="B351" s="2" t="s">
        <v>371</v>
      </c>
      <c r="C351" s="2" t="s">
        <v>375</v>
      </c>
      <c r="D351" s="2" t="s">
        <v>14</v>
      </c>
      <c r="E351" s="3" t="n">
        <v>197</v>
      </c>
      <c r="F351" s="4" t="n">
        <v>205.3</v>
      </c>
      <c r="G351" s="4" t="n">
        <v>45.6</v>
      </c>
      <c r="H351" s="4" t="n">
        <v>70</v>
      </c>
      <c r="I351" s="4" t="n">
        <v>200</v>
      </c>
      <c r="J351" s="4" t="n">
        <v>0</v>
      </c>
      <c r="K351" s="4" t="n">
        <v>0</v>
      </c>
      <c r="L351" s="4" t="n">
        <f aca="false">IF(COUNT(I351:K351)=0,"",SUM(I351:K351))</f>
        <v>200</v>
      </c>
    </row>
    <row r="352" customFormat="false" ht="15" hidden="false" customHeight="false" outlineLevel="0" collapsed="false">
      <c r="A352" s="2" t="n">
        <v>351</v>
      </c>
      <c r="B352" s="2" t="s">
        <v>371</v>
      </c>
      <c r="C352" s="2" t="s">
        <v>376</v>
      </c>
      <c r="D352" s="2" t="s">
        <v>14</v>
      </c>
      <c r="E352" s="3"/>
      <c r="F352" s="4" t="n">
        <v>0</v>
      </c>
      <c r="G352" s="4" t="n">
        <v>0</v>
      </c>
      <c r="H352" s="4"/>
      <c r="I352" s="4" t="n">
        <v>0</v>
      </c>
      <c r="J352" s="4" t="n">
        <v>0</v>
      </c>
      <c r="K352" s="4" t="n">
        <v>295</v>
      </c>
      <c r="L352" s="4" t="n">
        <f aca="false">IF(COUNT(I352:K352)=0,"",SUM(I352:K352))</f>
        <v>295</v>
      </c>
    </row>
    <row r="353" customFormat="false" ht="15" hidden="false" customHeight="false" outlineLevel="0" collapsed="false">
      <c r="A353" s="2" t="n">
        <v>352</v>
      </c>
      <c r="B353" s="2" t="s">
        <v>371</v>
      </c>
      <c r="C353" s="2" t="s">
        <v>377</v>
      </c>
      <c r="D353" s="2" t="s">
        <v>14</v>
      </c>
      <c r="E353" s="3"/>
      <c r="F353" s="4" t="n">
        <v>102.3</v>
      </c>
      <c r="G353" s="4" t="n">
        <v>41.5</v>
      </c>
      <c r="H353" s="4"/>
      <c r="I353" s="4" t="n">
        <v>184.1</v>
      </c>
      <c r="J353" s="4" t="n">
        <v>156.2</v>
      </c>
      <c r="K353" s="4" t="n">
        <v>153.1</v>
      </c>
      <c r="L353" s="4" t="n">
        <f aca="false">IF(COUNT(I353:K353)=0,"",SUM(I353:K353))</f>
        <v>493.4</v>
      </c>
    </row>
    <row r="354" customFormat="false" ht="15" hidden="false" customHeight="false" outlineLevel="0" collapsed="false">
      <c r="A354" s="2" t="n">
        <v>353</v>
      </c>
      <c r="B354" s="2" t="s">
        <v>371</v>
      </c>
      <c r="C354" s="2" t="s">
        <v>378</v>
      </c>
      <c r="D354" s="2" t="s">
        <v>14</v>
      </c>
      <c r="E354" s="3" t="n">
        <v>758</v>
      </c>
      <c r="F354" s="4" t="n">
        <v>866.6</v>
      </c>
      <c r="G354" s="4" t="n">
        <v>84</v>
      </c>
      <c r="H354" s="4"/>
      <c r="I354" s="4" t="n">
        <v>378.8</v>
      </c>
      <c r="J354" s="4" t="n">
        <v>245</v>
      </c>
      <c r="K354" s="4" t="n">
        <v>246.9</v>
      </c>
      <c r="L354" s="4" t="n">
        <f aca="false">IF(COUNT(I354:K354)=0,"",SUM(I354:K354))</f>
        <v>870.7</v>
      </c>
    </row>
    <row r="355" customFormat="false" ht="15" hidden="false" customHeight="false" outlineLevel="0" collapsed="false">
      <c r="A355" s="2" t="n">
        <v>354</v>
      </c>
      <c r="B355" s="2" t="s">
        <v>371</v>
      </c>
      <c r="C355" s="2" t="s">
        <v>379</v>
      </c>
      <c r="D355" s="2" t="s">
        <v>14</v>
      </c>
      <c r="E355" s="3" t="n">
        <v>5122</v>
      </c>
      <c r="F355" s="4" t="n">
        <v>5049.1</v>
      </c>
      <c r="G355" s="4" t="n">
        <v>121.4</v>
      </c>
      <c r="H355" s="4"/>
      <c r="I355" s="4" t="n">
        <v>547.2</v>
      </c>
      <c r="J355" s="4" t="n">
        <v>353.9</v>
      </c>
      <c r="K355" s="4" t="n">
        <v>356.6</v>
      </c>
      <c r="L355" s="4" t="n">
        <f aca="false">IF(COUNT(I355:K355)=0,"",SUM(I355:K355))</f>
        <v>1257.7</v>
      </c>
    </row>
    <row r="356" customFormat="false" ht="15" hidden="false" customHeight="false" outlineLevel="0" collapsed="false">
      <c r="A356" s="2" t="n">
        <v>355</v>
      </c>
      <c r="B356" s="2" t="s">
        <v>371</v>
      </c>
      <c r="C356" s="2" t="s">
        <v>380</v>
      </c>
      <c r="D356" s="2" t="s">
        <v>14</v>
      </c>
      <c r="E356" s="3" t="n">
        <v>3</v>
      </c>
      <c r="F356" s="4" t="n">
        <v>86</v>
      </c>
      <c r="G356" s="4" t="n">
        <v>28.9</v>
      </c>
      <c r="H356" s="4"/>
      <c r="I356" s="4" t="n">
        <v>117</v>
      </c>
      <c r="J356" s="4" t="n">
        <v>0</v>
      </c>
      <c r="K356" s="4" t="n">
        <v>0</v>
      </c>
      <c r="L356" s="4" t="n">
        <f aca="false">IF(COUNT(I356:K356)=0,"",SUM(I356:K356))</f>
        <v>117</v>
      </c>
    </row>
    <row r="357" customFormat="false" ht="15" hidden="false" customHeight="false" outlineLevel="0" collapsed="false">
      <c r="A357" s="2" t="n">
        <v>356</v>
      </c>
      <c r="B357" s="2" t="s">
        <v>371</v>
      </c>
      <c r="C357" s="2" t="s">
        <v>381</v>
      </c>
      <c r="D357" s="2" t="s">
        <v>14</v>
      </c>
      <c r="E357" s="3"/>
      <c r="F357" s="4" t="n">
        <v>6005.3</v>
      </c>
      <c r="G357" s="4" t="n">
        <v>216</v>
      </c>
      <c r="H357" s="4"/>
      <c r="I357" s="4" t="n">
        <v>946.4</v>
      </c>
      <c r="J357" s="4" t="n">
        <v>760</v>
      </c>
      <c r="K357" s="4"/>
      <c r="L357" s="4" t="n">
        <f aca="false">IF(COUNT(I357:K357)=0,"",SUM(I357:K357))</f>
        <v>1706.4</v>
      </c>
    </row>
    <row r="358" customFormat="false" ht="15" hidden="false" customHeight="false" outlineLevel="0" collapsed="false">
      <c r="A358" s="2" t="n">
        <v>357</v>
      </c>
      <c r="B358" s="2" t="s">
        <v>371</v>
      </c>
      <c r="C358" s="2" t="s">
        <v>382</v>
      </c>
      <c r="D358" s="2" t="s">
        <v>14</v>
      </c>
      <c r="E358" s="3" t="n">
        <v>3997</v>
      </c>
      <c r="F358" s="4" t="n">
        <v>3996.8</v>
      </c>
      <c r="G358" s="4" t="n">
        <v>93.9</v>
      </c>
      <c r="H358" s="4" t="n">
        <v>113</v>
      </c>
      <c r="I358" s="4" t="n">
        <v>427</v>
      </c>
      <c r="J358" s="4" t="n">
        <v>362.3</v>
      </c>
      <c r="K358" s="4" t="n">
        <v>365</v>
      </c>
      <c r="L358" s="4" t="n">
        <f aca="false">IF(COUNT(I358:K358)=0,"",SUM(I358:K358))</f>
        <v>1154.3</v>
      </c>
    </row>
    <row r="359" customFormat="false" ht="15" hidden="false" customHeight="false" outlineLevel="0" collapsed="false">
      <c r="A359" s="2" t="n">
        <v>358</v>
      </c>
      <c r="B359" s="2" t="s">
        <v>371</v>
      </c>
      <c r="C359" s="2" t="s">
        <v>383</v>
      </c>
      <c r="D359" s="2" t="s">
        <v>14</v>
      </c>
      <c r="E359" s="3" t="n">
        <v>3781</v>
      </c>
      <c r="F359" s="4" t="n">
        <v>3919.7</v>
      </c>
      <c r="G359" s="4" t="n">
        <v>288.2</v>
      </c>
      <c r="H359" s="4" t="n">
        <v>293</v>
      </c>
      <c r="I359" s="4" t="n">
        <v>1277.7</v>
      </c>
      <c r="J359" s="4" t="n">
        <v>1084</v>
      </c>
      <c r="K359" s="4" t="n">
        <v>1062.3</v>
      </c>
      <c r="L359" s="4" t="n">
        <f aca="false">IF(COUNT(I359:K359)=0,"",SUM(I359:K359))</f>
        <v>3424</v>
      </c>
    </row>
    <row r="360" customFormat="false" ht="15" hidden="false" customHeight="false" outlineLevel="0" collapsed="false">
      <c r="A360" s="2" t="n">
        <v>359</v>
      </c>
      <c r="B360" s="2" t="s">
        <v>371</v>
      </c>
      <c r="C360" s="2" t="s">
        <v>384</v>
      </c>
      <c r="D360" s="2" t="s">
        <v>14</v>
      </c>
      <c r="E360" s="3" t="n">
        <v>5956</v>
      </c>
      <c r="F360" s="4" t="n">
        <v>5986</v>
      </c>
      <c r="G360" s="4" t="n">
        <v>69.3</v>
      </c>
      <c r="H360" s="4" t="n">
        <v>36</v>
      </c>
      <c r="I360" s="4" t="n">
        <v>307.1</v>
      </c>
      <c r="J360" s="4" t="n">
        <v>260.6</v>
      </c>
      <c r="K360" s="4" t="n">
        <v>255.3</v>
      </c>
      <c r="L360" s="4" t="n">
        <f aca="false">IF(COUNT(I360:K360)=0,"",SUM(I360:K360))</f>
        <v>823</v>
      </c>
    </row>
    <row r="361" customFormat="false" ht="15" hidden="false" customHeight="false" outlineLevel="0" collapsed="false">
      <c r="A361" s="2" t="n">
        <v>360</v>
      </c>
      <c r="B361" s="2" t="s">
        <v>371</v>
      </c>
      <c r="C361" s="2" t="s">
        <v>385</v>
      </c>
      <c r="D361" s="2" t="s">
        <v>14</v>
      </c>
      <c r="E361" s="3" t="n">
        <v>10204</v>
      </c>
      <c r="F361" s="4" t="n">
        <v>10147.1</v>
      </c>
      <c r="G361" s="4" t="n">
        <v>26.7</v>
      </c>
      <c r="H361" s="4"/>
      <c r="I361" s="4" t="n">
        <v>118.5</v>
      </c>
      <c r="J361" s="4" t="n">
        <v>100.5</v>
      </c>
      <c r="K361" s="4" t="n">
        <v>98.5</v>
      </c>
      <c r="L361" s="4" t="n">
        <f aca="false">IF(COUNT(I361:K361)=0,"",SUM(I361:K361))</f>
        <v>317.5</v>
      </c>
    </row>
    <row r="362" customFormat="false" ht="15" hidden="false" customHeight="false" outlineLevel="0" collapsed="false">
      <c r="A362" s="2" t="n">
        <v>361</v>
      </c>
      <c r="B362" s="2" t="s">
        <v>371</v>
      </c>
      <c r="C362" s="2" t="s">
        <v>386</v>
      </c>
      <c r="D362" s="2" t="s">
        <v>14</v>
      </c>
      <c r="E362" s="3"/>
      <c r="F362" s="4" t="n">
        <v>948</v>
      </c>
      <c r="G362" s="4" t="n">
        <v>6.8</v>
      </c>
      <c r="H362" s="4"/>
      <c r="I362" s="4" t="n">
        <v>30</v>
      </c>
      <c r="J362" s="4" t="n">
        <v>30</v>
      </c>
      <c r="K362" s="4" t="n">
        <v>30</v>
      </c>
      <c r="L362" s="4" t="n">
        <f aca="false">IF(COUNT(I362:K362)=0,"",SUM(I362:K362))</f>
        <v>90</v>
      </c>
    </row>
    <row r="363" customFormat="false" ht="15" hidden="false" customHeight="false" outlineLevel="0" collapsed="false">
      <c r="A363" s="2" t="n">
        <v>362</v>
      </c>
      <c r="B363" s="2" t="s">
        <v>371</v>
      </c>
      <c r="C363" s="2" t="s">
        <v>387</v>
      </c>
      <c r="D363" s="2" t="s">
        <v>14</v>
      </c>
      <c r="E363" s="3" t="n">
        <v>1444</v>
      </c>
      <c r="F363" s="4" t="n">
        <v>1442</v>
      </c>
      <c r="G363" s="4" t="n">
        <v>3.8</v>
      </c>
      <c r="H363" s="4"/>
      <c r="I363" s="4" t="n">
        <v>17.2</v>
      </c>
      <c r="J363" s="4" t="n">
        <v>14.6</v>
      </c>
      <c r="K363" s="4" t="n">
        <v>14.3</v>
      </c>
      <c r="L363" s="4" t="n">
        <f aca="false">IF(COUNT(I363:K363)=0,"",SUM(I363:K363))</f>
        <v>46.1</v>
      </c>
    </row>
    <row r="364" customFormat="false" ht="15" hidden="false" customHeight="false" outlineLevel="0" collapsed="false">
      <c r="A364" s="2" t="n">
        <v>363</v>
      </c>
      <c r="B364" s="2" t="s">
        <v>371</v>
      </c>
      <c r="C364" s="2" t="s">
        <v>388</v>
      </c>
      <c r="D364" s="2" t="s">
        <v>14</v>
      </c>
      <c r="E364" s="3" t="n">
        <v>1797</v>
      </c>
      <c r="F364" s="4" t="n">
        <v>1794.1</v>
      </c>
      <c r="G364" s="4" t="n">
        <v>3.9</v>
      </c>
      <c r="H364" s="4"/>
      <c r="I364" s="4" t="n">
        <v>17.3</v>
      </c>
      <c r="J364" s="4" t="n">
        <v>14.7</v>
      </c>
      <c r="K364" s="4" t="n">
        <v>14.4</v>
      </c>
      <c r="L364" s="4" t="n">
        <f aca="false">IF(COUNT(I364:K364)=0,"",SUM(I364:K364))</f>
        <v>46.4</v>
      </c>
    </row>
    <row r="365" customFormat="false" ht="15" hidden="false" customHeight="false" outlineLevel="0" collapsed="false">
      <c r="A365" s="2" t="n">
        <v>364</v>
      </c>
      <c r="B365" s="2" t="s">
        <v>371</v>
      </c>
      <c r="C365" s="2" t="s">
        <v>389</v>
      </c>
      <c r="D365" s="2" t="s">
        <v>14</v>
      </c>
      <c r="E365" s="3" t="n">
        <v>1497</v>
      </c>
      <c r="F365" s="4" t="n">
        <v>1408.3</v>
      </c>
      <c r="G365" s="4" t="n">
        <v>132</v>
      </c>
      <c r="H365" s="4"/>
      <c r="I365" s="4" t="n">
        <v>550</v>
      </c>
      <c r="J365" s="4" t="n">
        <v>300</v>
      </c>
      <c r="K365" s="4" t="n">
        <v>300</v>
      </c>
      <c r="L365" s="4" t="n">
        <f aca="false">IF(COUNT(I365:K365)=0,"",SUM(I365:K365))</f>
        <v>1150</v>
      </c>
    </row>
    <row r="366" customFormat="false" ht="15" hidden="false" customHeight="false" outlineLevel="0" collapsed="false">
      <c r="A366" s="2" t="n">
        <v>365</v>
      </c>
      <c r="B366" s="2" t="s">
        <v>371</v>
      </c>
      <c r="C366" s="2" t="s">
        <v>390</v>
      </c>
      <c r="D366" s="2" t="s">
        <v>14</v>
      </c>
      <c r="E366" s="3" t="n">
        <v>39</v>
      </c>
      <c r="F366" s="4" t="n">
        <v>38.5</v>
      </c>
      <c r="G366" s="4" t="n">
        <v>4</v>
      </c>
      <c r="H366" s="4" t="n">
        <v>3</v>
      </c>
      <c r="I366" s="4" t="n">
        <v>18.1</v>
      </c>
      <c r="J366" s="4" t="n">
        <v>15.4</v>
      </c>
      <c r="K366" s="4" t="n">
        <v>15.5</v>
      </c>
      <c r="L366" s="4" t="n">
        <f aca="false">IF(COUNT(I366:K366)=0,"",SUM(I366:K366))</f>
        <v>49</v>
      </c>
    </row>
    <row r="367" customFormat="false" ht="15" hidden="false" customHeight="false" outlineLevel="0" collapsed="false">
      <c r="A367" s="2" t="n">
        <v>366</v>
      </c>
      <c r="B367" s="2" t="s">
        <v>371</v>
      </c>
      <c r="C367" s="2" t="s">
        <v>391</v>
      </c>
      <c r="D367" s="2" t="s">
        <v>14</v>
      </c>
      <c r="E367" s="3"/>
      <c r="F367" s="4" t="n">
        <v>285.7</v>
      </c>
      <c r="G367" s="4" t="n">
        <v>9.4</v>
      </c>
      <c r="H367" s="4"/>
      <c r="I367" s="4" t="n">
        <v>41.5</v>
      </c>
      <c r="J367" s="4" t="n">
        <v>35.2</v>
      </c>
      <c r="K367" s="4" t="n">
        <v>34.5</v>
      </c>
      <c r="L367" s="4" t="n">
        <f aca="false">IF(COUNT(I367:K367)=0,"",SUM(I367:K367))</f>
        <v>111.2</v>
      </c>
    </row>
    <row r="368" customFormat="false" ht="15" hidden="false" customHeight="false" outlineLevel="0" collapsed="false">
      <c r="A368" s="2" t="n">
        <v>367</v>
      </c>
      <c r="B368" s="2" t="s">
        <v>371</v>
      </c>
      <c r="C368" s="2" t="s">
        <v>392</v>
      </c>
      <c r="D368" s="2" t="s">
        <v>14</v>
      </c>
      <c r="E368" s="3" t="n">
        <v>1429</v>
      </c>
      <c r="F368" s="4" t="n">
        <v>1349.1</v>
      </c>
      <c r="G368" s="4" t="n">
        <v>122.3</v>
      </c>
      <c r="H368" s="4"/>
      <c r="I368" s="4" t="n">
        <v>542.2</v>
      </c>
      <c r="J368" s="4" t="n">
        <v>460</v>
      </c>
      <c r="K368" s="4" t="n">
        <v>450.8</v>
      </c>
      <c r="L368" s="4" t="n">
        <f aca="false">IF(COUNT(I368:K368)=0,"",SUM(I368:K368))</f>
        <v>1453</v>
      </c>
    </row>
    <row r="369" customFormat="false" ht="15" hidden="false" customHeight="false" outlineLevel="0" collapsed="false">
      <c r="A369" s="2" t="n">
        <v>368</v>
      </c>
      <c r="B369" s="2" t="s">
        <v>371</v>
      </c>
      <c r="C369" s="2" t="s">
        <v>393</v>
      </c>
      <c r="D369" s="2" t="s">
        <v>14</v>
      </c>
      <c r="E369" s="3" t="n">
        <v>17783</v>
      </c>
      <c r="F369" s="4" t="n">
        <v>17841.6</v>
      </c>
      <c r="G369" s="4" t="n">
        <v>433.3</v>
      </c>
      <c r="H369" s="4" t="n">
        <v>182</v>
      </c>
      <c r="I369" s="4" t="n">
        <v>1974.1</v>
      </c>
      <c r="J369" s="4" t="n">
        <v>1677.9</v>
      </c>
      <c r="K369" s="4" t="n">
        <v>1645.4</v>
      </c>
      <c r="L369" s="4" t="n">
        <f aca="false">IF(COUNT(I369:K369)=0,"",SUM(I369:K369))</f>
        <v>5297.4</v>
      </c>
    </row>
    <row r="370" customFormat="false" ht="15" hidden="false" customHeight="false" outlineLevel="0" collapsed="false">
      <c r="A370" s="2" t="n">
        <v>369</v>
      </c>
      <c r="B370" s="2" t="s">
        <v>371</v>
      </c>
      <c r="C370" s="2" t="s">
        <v>394</v>
      </c>
      <c r="D370" s="2" t="s">
        <v>14</v>
      </c>
      <c r="E370" s="3" t="n">
        <v>537</v>
      </c>
      <c r="F370" s="4" t="n">
        <v>498.4</v>
      </c>
      <c r="G370" s="4" t="n">
        <v>15.2</v>
      </c>
      <c r="H370" s="4" t="n">
        <v>3</v>
      </c>
      <c r="I370" s="4" t="n">
        <v>61</v>
      </c>
      <c r="J370" s="4" t="n">
        <v>51.9</v>
      </c>
      <c r="K370" s="4" t="n">
        <v>50.9</v>
      </c>
      <c r="L370" s="4" t="n">
        <f aca="false">IF(COUNT(I370:K370)=0,"",SUM(I370:K370))</f>
        <v>163.8</v>
      </c>
    </row>
    <row r="371" customFormat="false" ht="15" hidden="false" customHeight="false" outlineLevel="0" collapsed="false">
      <c r="A371" s="2" t="n">
        <v>370</v>
      </c>
      <c r="B371" s="2" t="s">
        <v>371</v>
      </c>
      <c r="C371" s="2" t="s">
        <v>395</v>
      </c>
      <c r="D371" s="2" t="s">
        <v>14</v>
      </c>
      <c r="E371" s="3" t="n">
        <v>4602</v>
      </c>
      <c r="F371" s="4" t="n">
        <v>4768.2</v>
      </c>
      <c r="G371" s="4" t="n">
        <v>419</v>
      </c>
      <c r="H371" s="4"/>
      <c r="I371" s="4" t="n">
        <v>1883.6</v>
      </c>
      <c r="J371" s="4" t="n">
        <v>1089</v>
      </c>
      <c r="K371" s="4" t="n">
        <v>1097.2</v>
      </c>
      <c r="L371" s="4" t="n">
        <f aca="false">IF(COUNT(I371:K371)=0,"",SUM(I371:K371))</f>
        <v>4069.8</v>
      </c>
    </row>
    <row r="372" customFormat="false" ht="15" hidden="false" customHeight="false" outlineLevel="0" collapsed="false">
      <c r="A372" s="2" t="n">
        <v>371</v>
      </c>
      <c r="B372" s="2" t="s">
        <v>371</v>
      </c>
      <c r="C372" s="2" t="s">
        <v>396</v>
      </c>
      <c r="D372" s="2" t="s">
        <v>14</v>
      </c>
      <c r="E372" s="3" t="n">
        <v>1820</v>
      </c>
      <c r="F372" s="4" t="n">
        <v>1832</v>
      </c>
      <c r="G372" s="4" t="n">
        <v>0</v>
      </c>
      <c r="H372" s="4" t="n">
        <v>26</v>
      </c>
      <c r="I372" s="4" t="n">
        <v>0</v>
      </c>
      <c r="J372" s="4" t="n">
        <v>0</v>
      </c>
      <c r="K372" s="4" t="n">
        <v>0</v>
      </c>
      <c r="L372" s="4" t="n">
        <f aca="false">IF(COUNT(I372:K372)=0,"",SUM(I372:K372))</f>
        <v>0</v>
      </c>
    </row>
    <row r="373" customFormat="false" ht="15" hidden="false" customHeight="false" outlineLevel="0" collapsed="false">
      <c r="A373" s="2" t="n">
        <v>372</v>
      </c>
      <c r="B373" s="2" t="s">
        <v>371</v>
      </c>
      <c r="C373" s="2" t="s">
        <v>397</v>
      </c>
      <c r="D373" s="2" t="s">
        <v>14</v>
      </c>
      <c r="E373" s="3" t="n">
        <v>2955</v>
      </c>
      <c r="F373" s="4" t="n">
        <v>2955</v>
      </c>
      <c r="G373" s="4" t="n">
        <v>0</v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f aca="false">IF(COUNT(I373:K373)=0,"",SUM(I373:K373))</f>
        <v>0</v>
      </c>
    </row>
    <row r="374" customFormat="false" ht="15" hidden="false" customHeight="false" outlineLevel="0" collapsed="false">
      <c r="A374" s="2" t="n">
        <v>373</v>
      </c>
      <c r="B374" s="2" t="s">
        <v>371</v>
      </c>
      <c r="C374" s="2" t="s">
        <v>398</v>
      </c>
      <c r="D374" s="2" t="s">
        <v>14</v>
      </c>
      <c r="E374" s="3"/>
      <c r="F374" s="4" t="n">
        <v>291.5</v>
      </c>
      <c r="G374" s="4" t="n">
        <v>24.8</v>
      </c>
      <c r="H374" s="4"/>
      <c r="I374" s="4" t="n">
        <v>109.9</v>
      </c>
      <c r="J374" s="4" t="n">
        <v>93.2</v>
      </c>
      <c r="K374" s="4" t="n">
        <v>91.4</v>
      </c>
      <c r="L374" s="4" t="n">
        <f aca="false">IF(COUNT(I374:K374)=0,"",SUM(I374:K374))</f>
        <v>294.5</v>
      </c>
    </row>
    <row r="375" customFormat="false" ht="15" hidden="false" customHeight="false" outlineLevel="0" collapsed="false">
      <c r="A375" s="2" t="n">
        <v>374</v>
      </c>
      <c r="B375" s="2" t="s">
        <v>371</v>
      </c>
      <c r="C375" s="2" t="s">
        <v>399</v>
      </c>
      <c r="D375" s="2" t="s">
        <v>14</v>
      </c>
      <c r="E375" s="3" t="n">
        <v>273</v>
      </c>
      <c r="F375" s="4" t="n">
        <v>269.5</v>
      </c>
      <c r="G375" s="4" t="n">
        <v>6.4</v>
      </c>
      <c r="H375" s="4"/>
      <c r="I375" s="4" t="n">
        <v>28.3</v>
      </c>
      <c r="J375" s="4" t="n">
        <v>24</v>
      </c>
      <c r="K375" s="4" t="n">
        <v>23.5</v>
      </c>
      <c r="L375" s="4" t="n">
        <f aca="false">IF(COUNT(I375:K375)=0,"",SUM(I375:K375))</f>
        <v>75.8</v>
      </c>
    </row>
    <row r="376" customFormat="false" ht="15" hidden="false" customHeight="false" outlineLevel="0" collapsed="false">
      <c r="A376" s="2" t="n">
        <v>375</v>
      </c>
      <c r="B376" s="2" t="s">
        <v>371</v>
      </c>
      <c r="C376" s="2" t="s">
        <v>400</v>
      </c>
      <c r="D376" s="2" t="s">
        <v>14</v>
      </c>
      <c r="E376" s="3"/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f aca="false">IF(COUNT(I376:K376)=0,"",SUM(I376:K376))</f>
        <v>0</v>
      </c>
    </row>
    <row r="377" customFormat="false" ht="15" hidden="false" customHeight="false" outlineLevel="0" collapsed="false">
      <c r="A377" s="2" t="n">
        <v>376</v>
      </c>
      <c r="B377" s="2" t="s">
        <v>371</v>
      </c>
      <c r="C377" s="2" t="s">
        <v>401</v>
      </c>
      <c r="D377" s="2" t="s">
        <v>14</v>
      </c>
      <c r="E377" s="3" t="n">
        <v>5979</v>
      </c>
      <c r="F377" s="4" t="n">
        <v>5919.3</v>
      </c>
      <c r="G377" s="4" t="n">
        <v>187.1</v>
      </c>
      <c r="H377" s="4"/>
      <c r="I377" s="4" t="n">
        <v>829.4</v>
      </c>
      <c r="J377" s="4" t="n">
        <v>760</v>
      </c>
      <c r="K377" s="4" t="n">
        <v>744.8</v>
      </c>
      <c r="L377" s="4" t="n">
        <f aca="false">IF(COUNT(I377:K377)=0,"",SUM(I377:K377))</f>
        <v>2334.2</v>
      </c>
    </row>
    <row r="378" customFormat="false" ht="15" hidden="false" customHeight="false" outlineLevel="0" collapsed="false">
      <c r="A378" s="2" t="n">
        <v>377</v>
      </c>
      <c r="B378" s="2" t="s">
        <v>371</v>
      </c>
      <c r="C378" s="2" t="s">
        <v>402</v>
      </c>
      <c r="D378" s="2" t="s">
        <v>14</v>
      </c>
      <c r="E378" s="3" t="n">
        <v>332</v>
      </c>
      <c r="F378" s="4" t="n">
        <v>278.7</v>
      </c>
      <c r="G378" s="4" t="n">
        <v>14.7</v>
      </c>
      <c r="H378" s="4"/>
      <c r="I378" s="4" t="n">
        <v>50</v>
      </c>
      <c r="J378" s="4" t="n">
        <v>42.4</v>
      </c>
      <c r="K378" s="4" t="n">
        <v>41.6</v>
      </c>
      <c r="L378" s="4" t="n">
        <f aca="false">IF(COUNT(I378:K378)=0,"",SUM(I378:K378))</f>
        <v>134</v>
      </c>
    </row>
    <row r="379" customFormat="false" ht="15" hidden="false" customHeight="false" outlineLevel="0" collapsed="false">
      <c r="A379" s="2" t="n">
        <v>378</v>
      </c>
      <c r="B379" s="2" t="s">
        <v>371</v>
      </c>
      <c r="C379" s="2" t="s">
        <v>403</v>
      </c>
      <c r="D379" s="2" t="s">
        <v>14</v>
      </c>
      <c r="E379" s="3"/>
      <c r="F379" s="4" t="n">
        <v>1481.4</v>
      </c>
      <c r="G379" s="4" t="n">
        <v>22.2</v>
      </c>
      <c r="H379" s="4"/>
      <c r="I379" s="4" t="n">
        <v>98.4</v>
      </c>
      <c r="J379" s="4" t="n">
        <v>83.5</v>
      </c>
      <c r="K379" s="4" t="n">
        <v>81.8</v>
      </c>
      <c r="L379" s="4" t="n">
        <f aca="false">IF(COUNT(I379:K379)=0,"",SUM(I379:K379))</f>
        <v>263.7</v>
      </c>
    </row>
    <row r="380" customFormat="false" ht="15" hidden="false" customHeight="false" outlineLevel="0" collapsed="false">
      <c r="A380" s="2" t="n">
        <v>379</v>
      </c>
      <c r="B380" s="2" t="s">
        <v>371</v>
      </c>
      <c r="C380" s="2" t="s">
        <v>404</v>
      </c>
      <c r="D380" s="2" t="s">
        <v>14</v>
      </c>
      <c r="E380" s="3" t="n">
        <v>847</v>
      </c>
      <c r="F380" s="4" t="n">
        <v>839.5</v>
      </c>
      <c r="G380" s="4" t="n">
        <v>27.9</v>
      </c>
      <c r="H380" s="4" t="n">
        <v>32</v>
      </c>
      <c r="I380" s="4" t="n">
        <v>126.8</v>
      </c>
      <c r="J380" s="4" t="n">
        <v>107.6</v>
      </c>
      <c r="K380" s="4" t="n">
        <v>108.4</v>
      </c>
      <c r="L380" s="4" t="n">
        <f aca="false">IF(COUNT(I380:K380)=0,"",SUM(I380:K380))</f>
        <v>342.8</v>
      </c>
    </row>
    <row r="381" customFormat="false" ht="15" hidden="false" customHeight="false" outlineLevel="0" collapsed="false">
      <c r="A381" s="2" t="n">
        <v>380</v>
      </c>
      <c r="B381" s="2" t="s">
        <v>371</v>
      </c>
      <c r="C381" s="2" t="s">
        <v>405</v>
      </c>
      <c r="D381" s="2" t="s">
        <v>14</v>
      </c>
      <c r="E381" s="3" t="n">
        <v>8524</v>
      </c>
      <c r="F381" s="4" t="n">
        <v>8578.2</v>
      </c>
      <c r="G381" s="4" t="n">
        <v>95.6</v>
      </c>
      <c r="H381" s="4" t="n">
        <v>115</v>
      </c>
      <c r="I381" s="4" t="n">
        <v>434.8</v>
      </c>
      <c r="J381" s="4" t="n">
        <v>368.9</v>
      </c>
      <c r="K381" s="4" t="n">
        <v>371.6</v>
      </c>
      <c r="L381" s="4" t="n">
        <f aca="false">IF(COUNT(I381:K381)=0,"",SUM(I381:K381))</f>
        <v>1175.3</v>
      </c>
    </row>
    <row r="382" customFormat="false" ht="15" hidden="false" customHeight="false" outlineLevel="0" collapsed="false">
      <c r="A382" s="2" t="n">
        <v>381</v>
      </c>
      <c r="B382" s="2" t="s">
        <v>371</v>
      </c>
      <c r="C382" s="2" t="s">
        <v>406</v>
      </c>
      <c r="D382" s="2" t="s">
        <v>14</v>
      </c>
      <c r="E382" s="3" t="n">
        <v>1661</v>
      </c>
      <c r="F382" s="4" t="n">
        <v>1655.2</v>
      </c>
      <c r="G382" s="4" t="n">
        <v>10.2</v>
      </c>
      <c r="H382" s="4" t="n">
        <v>7</v>
      </c>
      <c r="I382" s="4" t="n">
        <v>46.6</v>
      </c>
      <c r="J382" s="4" t="n">
        <v>39.5</v>
      </c>
      <c r="K382" s="4" t="n">
        <v>39.8</v>
      </c>
      <c r="L382" s="4" t="n">
        <f aca="false">IF(COUNT(I382:K382)=0,"",SUM(I382:K382))</f>
        <v>125.9</v>
      </c>
    </row>
    <row r="383" customFormat="false" ht="15" hidden="false" customHeight="false" outlineLevel="0" collapsed="false">
      <c r="A383" s="2" t="n">
        <v>382</v>
      </c>
      <c r="B383" s="2" t="s">
        <v>371</v>
      </c>
      <c r="C383" s="2" t="s">
        <v>407</v>
      </c>
      <c r="D383" s="2" t="s">
        <v>14</v>
      </c>
      <c r="E383" s="3" t="n">
        <v>2113</v>
      </c>
      <c r="F383" s="4" t="n">
        <v>2081.3</v>
      </c>
      <c r="G383" s="4" t="n">
        <v>47.2</v>
      </c>
      <c r="H383" s="4" t="n">
        <v>0</v>
      </c>
      <c r="I383" s="4" t="n">
        <v>214.8</v>
      </c>
      <c r="J383" s="4" t="n">
        <v>182.2</v>
      </c>
      <c r="K383" s="4" t="n">
        <v>183.6</v>
      </c>
      <c r="L383" s="4" t="n">
        <f aca="false">IF(COUNT(I383:K383)=0,"",SUM(I383:K383))</f>
        <v>580.6</v>
      </c>
    </row>
    <row r="384" customFormat="false" ht="15" hidden="false" customHeight="false" outlineLevel="0" collapsed="false">
      <c r="A384" s="2" t="n">
        <v>383</v>
      </c>
      <c r="B384" s="2" t="s">
        <v>371</v>
      </c>
      <c r="C384" s="2" t="s">
        <v>408</v>
      </c>
      <c r="D384" s="2" t="s">
        <v>14</v>
      </c>
      <c r="E384" s="3" t="n">
        <v>5474</v>
      </c>
      <c r="F384" s="4" t="n">
        <v>5433.1</v>
      </c>
      <c r="G384" s="4" t="n">
        <v>63.7</v>
      </c>
      <c r="H384" s="4" t="n">
        <v>36</v>
      </c>
      <c r="I384" s="4" t="n">
        <v>289.8</v>
      </c>
      <c r="J384" s="4" t="n">
        <v>245.9</v>
      </c>
      <c r="K384" s="4" t="n">
        <v>247.8</v>
      </c>
      <c r="L384" s="4" t="n">
        <f aca="false">IF(COUNT(I384:K384)=0,"",SUM(I384:K384))</f>
        <v>783.5</v>
      </c>
    </row>
    <row r="385" customFormat="false" ht="15" hidden="false" customHeight="false" outlineLevel="0" collapsed="false">
      <c r="A385" s="2" t="n">
        <v>384</v>
      </c>
      <c r="B385" s="2" t="s">
        <v>371</v>
      </c>
      <c r="C385" s="2" t="s">
        <v>409</v>
      </c>
      <c r="D385" s="2" t="s">
        <v>14</v>
      </c>
      <c r="E385" s="3" t="n">
        <v>6930</v>
      </c>
      <c r="F385" s="4" t="n">
        <v>6971.4</v>
      </c>
      <c r="G385" s="4" t="n">
        <v>64.5</v>
      </c>
      <c r="H385" s="4" t="n">
        <v>0</v>
      </c>
      <c r="I385" s="4" t="n">
        <v>324</v>
      </c>
      <c r="J385" s="4" t="n">
        <v>519.8</v>
      </c>
      <c r="K385" s="4" t="n">
        <v>738.2</v>
      </c>
      <c r="L385" s="4" t="n">
        <f aca="false">IF(COUNT(I385:K385)=0,"",SUM(I385:K385))</f>
        <v>1582</v>
      </c>
    </row>
    <row r="386" customFormat="false" ht="15" hidden="false" customHeight="false" outlineLevel="0" collapsed="false">
      <c r="A386" s="2" t="n">
        <v>385</v>
      </c>
      <c r="B386" s="2" t="s">
        <v>371</v>
      </c>
      <c r="C386" s="2" t="s">
        <v>410</v>
      </c>
      <c r="D386" s="2" t="s">
        <v>14</v>
      </c>
      <c r="E386" s="3" t="n">
        <v>5106</v>
      </c>
      <c r="F386" s="4" t="n">
        <v>4971.8</v>
      </c>
      <c r="G386" s="4" t="n">
        <v>273.6</v>
      </c>
      <c r="H386" s="4" t="n">
        <v>0</v>
      </c>
      <c r="I386" s="4" t="n">
        <v>1172.9</v>
      </c>
      <c r="J386" s="4" t="n">
        <v>902.9</v>
      </c>
      <c r="K386" s="4" t="n">
        <v>1050.7</v>
      </c>
      <c r="L386" s="4" t="n">
        <f aca="false">IF(COUNT(I386:K386)=0,"",SUM(I386:K386))</f>
        <v>3126.5</v>
      </c>
    </row>
    <row r="387" customFormat="false" ht="15" hidden="false" customHeight="false" outlineLevel="0" collapsed="false">
      <c r="A387" s="2" t="n">
        <v>386</v>
      </c>
      <c r="B387" s="2" t="s">
        <v>371</v>
      </c>
      <c r="C387" s="2" t="s">
        <v>411</v>
      </c>
      <c r="D387" s="2" t="s">
        <v>14</v>
      </c>
      <c r="E387" s="3" t="n">
        <v>1</v>
      </c>
      <c r="F387" s="4" t="n">
        <v>1</v>
      </c>
      <c r="G387" s="4" t="n">
        <v>0</v>
      </c>
      <c r="H387" s="4"/>
      <c r="I387" s="4" t="n">
        <v>0</v>
      </c>
      <c r="J387" s="4" t="n">
        <v>0</v>
      </c>
      <c r="K387" s="4" t="n">
        <v>0</v>
      </c>
      <c r="L387" s="4" t="n">
        <f aca="false">IF(COUNT(I387:K387)=0,"",SUM(I387:K387))</f>
        <v>0</v>
      </c>
    </row>
    <row r="388" customFormat="false" ht="15" hidden="false" customHeight="false" outlineLevel="0" collapsed="false">
      <c r="A388" s="2" t="n">
        <v>387</v>
      </c>
      <c r="B388" s="2" t="s">
        <v>371</v>
      </c>
      <c r="C388" s="2" t="s">
        <v>412</v>
      </c>
      <c r="D388" s="2" t="s">
        <v>14</v>
      </c>
      <c r="E388" s="3"/>
      <c r="F388" s="4" t="n">
        <v>511.3</v>
      </c>
      <c r="G388" s="4" t="n">
        <v>11.4</v>
      </c>
      <c r="H388" s="4"/>
      <c r="I388" s="4" t="n">
        <v>50</v>
      </c>
      <c r="J388" s="4" t="n">
        <v>50</v>
      </c>
      <c r="K388" s="4" t="n">
        <v>50</v>
      </c>
      <c r="L388" s="4" t="n">
        <f aca="false">IF(COUNT(I388:K388)=0,"",SUM(I388:K388))</f>
        <v>150</v>
      </c>
    </row>
    <row r="389" customFormat="false" ht="15" hidden="false" customHeight="false" outlineLevel="0" collapsed="false">
      <c r="A389" s="2" t="n">
        <v>388</v>
      </c>
      <c r="B389" s="2" t="s">
        <v>371</v>
      </c>
      <c r="C389" s="2" t="s">
        <v>413</v>
      </c>
      <c r="D389" s="2" t="s">
        <v>14</v>
      </c>
      <c r="E389" s="3"/>
      <c r="F389" s="4" t="n">
        <v>1416.3</v>
      </c>
      <c r="G389" s="4" t="n">
        <v>2.9</v>
      </c>
      <c r="H389" s="4"/>
      <c r="I389" s="4" t="n">
        <v>10</v>
      </c>
      <c r="J389" s="4" t="n">
        <v>10</v>
      </c>
      <c r="K389" s="4" t="n">
        <v>10</v>
      </c>
      <c r="L389" s="4" t="n">
        <f aca="false">IF(COUNT(I389:K389)=0,"",SUM(I389:K389))</f>
        <v>30</v>
      </c>
    </row>
    <row r="390" customFormat="false" ht="15" hidden="false" customHeight="false" outlineLevel="0" collapsed="false">
      <c r="A390" s="2" t="n">
        <v>389</v>
      </c>
      <c r="B390" s="2" t="s">
        <v>371</v>
      </c>
      <c r="C390" s="2" t="s">
        <v>414</v>
      </c>
      <c r="D390" s="2" t="s">
        <v>14</v>
      </c>
      <c r="E390" s="3"/>
      <c r="F390" s="4" t="n">
        <v>270.7</v>
      </c>
      <c r="G390" s="4" t="n">
        <v>2.3</v>
      </c>
      <c r="H390" s="4"/>
      <c r="I390" s="4" t="n">
        <v>10</v>
      </c>
      <c r="J390" s="4" t="n">
        <v>10</v>
      </c>
      <c r="K390" s="4" t="n">
        <v>10</v>
      </c>
      <c r="L390" s="4" t="n">
        <f aca="false">IF(COUNT(I390:K390)=0,"",SUM(I390:K390))</f>
        <v>30</v>
      </c>
    </row>
    <row r="391" customFormat="false" ht="15" hidden="false" customHeight="false" outlineLevel="0" collapsed="false">
      <c r="A391" s="2" t="n">
        <v>390</v>
      </c>
      <c r="B391" s="2" t="s">
        <v>371</v>
      </c>
      <c r="C391" s="2" t="s">
        <v>415</v>
      </c>
      <c r="D391" s="2" t="s">
        <v>14</v>
      </c>
      <c r="E391" s="3"/>
      <c r="F391" s="4" t="n">
        <v>500</v>
      </c>
      <c r="G391" s="4" t="n">
        <v>32.3</v>
      </c>
      <c r="H391" s="4"/>
      <c r="I391" s="4" t="n">
        <v>200</v>
      </c>
      <c r="J391" s="4" t="n">
        <v>150</v>
      </c>
      <c r="K391" s="4" t="n">
        <v>150</v>
      </c>
      <c r="L391" s="4" t="n">
        <f aca="false">IF(COUNT(I391:K391)=0,"",SUM(I391:K391))</f>
        <v>500</v>
      </c>
    </row>
    <row r="392" customFormat="false" ht="15" hidden="false" customHeight="false" outlineLevel="0" collapsed="false">
      <c r="A392" s="2" t="n">
        <v>391</v>
      </c>
      <c r="B392" s="2" t="s">
        <v>371</v>
      </c>
      <c r="C392" s="2" t="s">
        <v>416</v>
      </c>
      <c r="D392" s="2" t="s">
        <v>14</v>
      </c>
      <c r="E392" s="3"/>
      <c r="F392" s="4" t="n">
        <v>498.3</v>
      </c>
      <c r="G392" s="4" t="n">
        <v>4.6</v>
      </c>
      <c r="H392" s="4"/>
      <c r="I392" s="4" t="n">
        <v>20</v>
      </c>
      <c r="J392" s="4" t="n">
        <v>20</v>
      </c>
      <c r="K392" s="4" t="n">
        <v>20</v>
      </c>
      <c r="L392" s="4" t="n">
        <f aca="false">IF(COUNT(I392:K392)=0,"",SUM(I392:K392))</f>
        <v>60</v>
      </c>
    </row>
    <row r="393" customFormat="false" ht="15" hidden="false" customHeight="false" outlineLevel="0" collapsed="false">
      <c r="A393" s="2" t="n">
        <v>392</v>
      </c>
      <c r="B393" s="2" t="s">
        <v>371</v>
      </c>
      <c r="C393" s="2" t="s">
        <v>417</v>
      </c>
      <c r="D393" s="2" t="s">
        <v>14</v>
      </c>
      <c r="E393" s="3"/>
      <c r="F393" s="4" t="n">
        <v>751.7</v>
      </c>
      <c r="G393" s="4" t="n">
        <v>22.8</v>
      </c>
      <c r="H393" s="4"/>
      <c r="I393" s="4" t="n">
        <v>100</v>
      </c>
      <c r="J393" s="4" t="n">
        <v>100</v>
      </c>
      <c r="K393" s="4" t="n">
        <v>150</v>
      </c>
      <c r="L393" s="4" t="n">
        <f aca="false">IF(COUNT(I393:K393)=0,"",SUM(I393:K393))</f>
        <v>350</v>
      </c>
    </row>
    <row r="394" customFormat="false" ht="15" hidden="false" customHeight="false" outlineLevel="0" collapsed="false">
      <c r="A394" s="2" t="n">
        <v>393</v>
      </c>
      <c r="B394" s="2" t="s">
        <v>371</v>
      </c>
      <c r="C394" s="2" t="s">
        <v>418</v>
      </c>
      <c r="D394" s="2" t="s">
        <v>14</v>
      </c>
      <c r="E394" s="3"/>
      <c r="F394" s="4" t="n">
        <v>79.3</v>
      </c>
      <c r="G394" s="4" t="n">
        <v>45.6</v>
      </c>
      <c r="H394" s="4"/>
      <c r="I394" s="4" t="n">
        <v>200</v>
      </c>
      <c r="J394" s="4" t="n">
        <v>200</v>
      </c>
      <c r="K394" s="4" t="n">
        <v>200</v>
      </c>
      <c r="L394" s="4" t="n">
        <f aca="false">IF(COUNT(I394:K394)=0,"",SUM(I394:K394))</f>
        <v>600</v>
      </c>
    </row>
    <row r="395" customFormat="false" ht="15" hidden="false" customHeight="false" outlineLevel="0" collapsed="false">
      <c r="A395" s="2" t="n">
        <v>394</v>
      </c>
      <c r="B395" s="2" t="s">
        <v>371</v>
      </c>
      <c r="C395" s="2" t="s">
        <v>419</v>
      </c>
      <c r="D395" s="2" t="s">
        <v>14</v>
      </c>
      <c r="E395" s="3"/>
      <c r="F395" s="4" t="n">
        <v>604</v>
      </c>
      <c r="G395" s="4" t="n">
        <v>34.2</v>
      </c>
      <c r="H395" s="4"/>
      <c r="I395" s="4" t="n">
        <v>150</v>
      </c>
      <c r="J395" s="4" t="n">
        <v>150</v>
      </c>
      <c r="K395" s="4" t="n">
        <v>150</v>
      </c>
      <c r="L395" s="4" t="n">
        <f aca="false">IF(COUNT(I395:K395)=0,"",SUM(I395:K395))</f>
        <v>450</v>
      </c>
    </row>
    <row r="396" customFormat="false" ht="15" hidden="false" customHeight="false" outlineLevel="0" collapsed="false">
      <c r="A396" s="2" t="n">
        <v>395</v>
      </c>
      <c r="B396" s="2" t="s">
        <v>371</v>
      </c>
      <c r="C396" s="2" t="s">
        <v>420</v>
      </c>
      <c r="D396" s="2" t="s">
        <v>14</v>
      </c>
      <c r="E396" s="3"/>
      <c r="F396" s="4" t="n">
        <v>1656</v>
      </c>
      <c r="G396" s="4" t="n">
        <v>6.8</v>
      </c>
      <c r="H396" s="4"/>
      <c r="I396" s="4" t="n">
        <v>30</v>
      </c>
      <c r="J396" s="4" t="n">
        <v>30</v>
      </c>
      <c r="K396" s="4" t="n">
        <v>30</v>
      </c>
      <c r="L396" s="4" t="n">
        <f aca="false">IF(COUNT(I396:K396)=0,"",SUM(I396:K396))</f>
        <v>90</v>
      </c>
    </row>
    <row r="397" customFormat="false" ht="15" hidden="false" customHeight="false" outlineLevel="0" collapsed="false">
      <c r="A397" s="2" t="n">
        <v>396</v>
      </c>
      <c r="B397" s="2" t="s">
        <v>371</v>
      </c>
      <c r="C397" s="2" t="s">
        <v>421</v>
      </c>
      <c r="D397" s="2" t="s">
        <v>14</v>
      </c>
      <c r="E397" s="3"/>
      <c r="F397" s="4" t="n">
        <v>2673.4</v>
      </c>
      <c r="G397" s="4" t="n">
        <v>11.7</v>
      </c>
      <c r="H397" s="4"/>
      <c r="I397" s="4" t="n">
        <v>38.8</v>
      </c>
      <c r="J397" s="4" t="n">
        <v>232</v>
      </c>
      <c r="K397" s="4" t="n">
        <v>431.8</v>
      </c>
      <c r="L397" s="4" t="n">
        <f aca="false">IF(COUNT(I397:K397)=0,"",SUM(I397:K397))</f>
        <v>702.6</v>
      </c>
    </row>
    <row r="398" customFormat="false" ht="15" hidden="false" customHeight="false" outlineLevel="0" collapsed="false">
      <c r="A398" s="2" t="n">
        <v>397</v>
      </c>
      <c r="B398" s="2" t="s">
        <v>371</v>
      </c>
      <c r="C398" s="2" t="s">
        <v>422</v>
      </c>
      <c r="D398" s="2" t="s">
        <v>14</v>
      </c>
      <c r="E398" s="3"/>
      <c r="F398" s="4" t="n">
        <v>2440.8</v>
      </c>
      <c r="G398" s="4" t="n">
        <v>91.3</v>
      </c>
      <c r="H398" s="4"/>
      <c r="I398" s="4" t="n">
        <v>415.4</v>
      </c>
      <c r="J398" s="4" t="n">
        <v>354.1</v>
      </c>
      <c r="K398" s="4" t="n">
        <v>504.1</v>
      </c>
      <c r="L398" s="4" t="n">
        <f aca="false">IF(COUNT(I398:K398)=0,"",SUM(I398:K398))</f>
        <v>1273.6</v>
      </c>
    </row>
    <row r="399" customFormat="false" ht="15" hidden="false" customHeight="false" outlineLevel="0" collapsed="false">
      <c r="A399" s="2" t="n">
        <v>398</v>
      </c>
      <c r="B399" s="2" t="s">
        <v>371</v>
      </c>
      <c r="C399" s="2" t="s">
        <v>423</v>
      </c>
      <c r="D399" s="2" t="s">
        <v>14</v>
      </c>
      <c r="E399" s="3" t="n">
        <v>3337</v>
      </c>
      <c r="F399" s="4" t="n">
        <v>3327.3</v>
      </c>
      <c r="G399" s="4" t="n">
        <v>18.2</v>
      </c>
      <c r="H399" s="4"/>
      <c r="I399" s="4" t="n">
        <v>80</v>
      </c>
      <c r="J399" s="4" t="n">
        <v>80</v>
      </c>
      <c r="K399" s="4" t="n">
        <v>80</v>
      </c>
      <c r="L399" s="4" t="n">
        <f aca="false">IF(COUNT(I399:K399)=0,"",SUM(I399:K399))</f>
        <v>240</v>
      </c>
    </row>
    <row r="400" customFormat="false" ht="15" hidden="false" customHeight="false" outlineLevel="0" collapsed="false">
      <c r="A400" s="2" t="n">
        <v>399</v>
      </c>
      <c r="B400" s="2" t="s">
        <v>371</v>
      </c>
      <c r="C400" s="2" t="s">
        <v>424</v>
      </c>
      <c r="D400" s="2" t="s">
        <v>14</v>
      </c>
      <c r="E400" s="3"/>
      <c r="F400" s="4" t="n">
        <v>0</v>
      </c>
      <c r="G400" s="4" t="n">
        <v>0</v>
      </c>
      <c r="H400" s="4"/>
      <c r="I400" s="4" t="n">
        <v>0</v>
      </c>
      <c r="J400" s="4" t="n">
        <v>21</v>
      </c>
      <c r="K400" s="4" t="n">
        <v>65</v>
      </c>
      <c r="L400" s="4" t="n">
        <f aca="false">IF(COUNT(I400:K400)=0,"",SUM(I400:K400))</f>
        <v>86</v>
      </c>
    </row>
    <row r="401" customFormat="false" ht="15" hidden="false" customHeight="false" outlineLevel="0" collapsed="false">
      <c r="A401" s="2" t="n">
        <v>400</v>
      </c>
      <c r="B401" s="2" t="s">
        <v>371</v>
      </c>
      <c r="C401" s="2" t="s">
        <v>425</v>
      </c>
      <c r="D401" s="2" t="s">
        <v>14</v>
      </c>
      <c r="E401" s="3"/>
      <c r="F401" s="4" t="n">
        <v>0</v>
      </c>
      <c r="G401" s="4" t="n">
        <v>0</v>
      </c>
      <c r="H401" s="4"/>
      <c r="I401" s="4" t="n">
        <v>0</v>
      </c>
      <c r="J401" s="4" t="n">
        <v>0</v>
      </c>
      <c r="K401" s="4" t="n">
        <v>0</v>
      </c>
      <c r="L401" s="4" t="n">
        <f aca="false">IF(COUNT(I401:K401)=0,"",SUM(I401:K401))</f>
        <v>0</v>
      </c>
    </row>
    <row r="402" customFormat="false" ht="15" hidden="false" customHeight="false" outlineLevel="0" collapsed="false">
      <c r="A402" s="2" t="n">
        <v>401</v>
      </c>
      <c r="B402" s="2" t="s">
        <v>371</v>
      </c>
      <c r="C402" s="2" t="s">
        <v>426</v>
      </c>
      <c r="D402" s="2" t="s">
        <v>14</v>
      </c>
      <c r="E402" s="3" t="n">
        <v>2414</v>
      </c>
      <c r="F402" s="4" t="n">
        <v>2354.3</v>
      </c>
      <c r="G402" s="4" t="n">
        <v>133.6</v>
      </c>
      <c r="H402" s="4"/>
      <c r="I402" s="4" t="n">
        <v>592.4</v>
      </c>
      <c r="J402" s="4" t="n">
        <v>502.6</v>
      </c>
      <c r="K402" s="4" t="n">
        <v>492.5</v>
      </c>
      <c r="L402" s="4" t="n">
        <f aca="false">IF(COUNT(I402:K402)=0,"",SUM(I402:K402))</f>
        <v>1587.5</v>
      </c>
    </row>
    <row r="403" customFormat="false" ht="15" hidden="false" customHeight="false" outlineLevel="0" collapsed="false">
      <c r="A403" s="2" t="n">
        <v>402</v>
      </c>
      <c r="B403" s="2" t="s">
        <v>371</v>
      </c>
      <c r="C403" s="2" t="s">
        <v>427</v>
      </c>
      <c r="D403" s="2" t="s">
        <v>14</v>
      </c>
      <c r="E403" s="3"/>
      <c r="F403" s="4" t="n">
        <v>0</v>
      </c>
      <c r="G403" s="4" t="n">
        <v>0</v>
      </c>
      <c r="H403" s="4"/>
      <c r="I403" s="4" t="n">
        <v>0</v>
      </c>
      <c r="J403" s="4" t="n">
        <v>11</v>
      </c>
      <c r="K403" s="4" t="n">
        <v>32</v>
      </c>
      <c r="L403" s="4" t="n">
        <f aca="false">IF(COUNT(I403:K403)=0,"",SUM(I403:K403))</f>
        <v>43</v>
      </c>
    </row>
    <row r="404" customFormat="false" ht="15" hidden="false" customHeight="false" outlineLevel="0" collapsed="false">
      <c r="A404" s="2" t="n">
        <v>403</v>
      </c>
      <c r="B404" s="2" t="s">
        <v>371</v>
      </c>
      <c r="C404" s="2" t="s">
        <v>428</v>
      </c>
      <c r="D404" s="2" t="s">
        <v>14</v>
      </c>
      <c r="E404" s="3" t="n">
        <v>1934</v>
      </c>
      <c r="F404" s="4" t="n">
        <v>1426.6</v>
      </c>
      <c r="G404" s="4" t="n">
        <v>99.3</v>
      </c>
      <c r="H404" s="4"/>
      <c r="I404" s="4" t="n">
        <v>440.2</v>
      </c>
      <c r="J404" s="4" t="n">
        <v>373.4</v>
      </c>
      <c r="K404" s="4" t="n">
        <v>366</v>
      </c>
      <c r="L404" s="4" t="n">
        <f aca="false">IF(COUNT(I404:K404)=0,"",SUM(I404:K404))</f>
        <v>1179.6</v>
      </c>
    </row>
    <row r="405" customFormat="false" ht="15" hidden="false" customHeight="false" outlineLevel="0" collapsed="false">
      <c r="A405" s="2" t="n">
        <v>404</v>
      </c>
      <c r="B405" s="2" t="s">
        <v>371</v>
      </c>
      <c r="C405" s="2" t="s">
        <v>429</v>
      </c>
      <c r="D405" s="2" t="s">
        <v>14</v>
      </c>
      <c r="E405" s="3" t="n">
        <v>1187</v>
      </c>
      <c r="F405" s="4" t="n">
        <v>1198.2</v>
      </c>
      <c r="G405" s="4" t="n">
        <v>92.8</v>
      </c>
      <c r="H405" s="4" t="n">
        <v>110</v>
      </c>
      <c r="I405" s="4" t="n">
        <v>421.8</v>
      </c>
      <c r="J405" s="4" t="n">
        <v>357.9</v>
      </c>
      <c r="K405" s="4" t="n">
        <v>360.6</v>
      </c>
      <c r="L405" s="4" t="n">
        <f aca="false">IF(COUNT(I405:K405)=0,"",SUM(I405:K405))</f>
        <v>1140.3</v>
      </c>
    </row>
    <row r="406" customFormat="false" ht="15" hidden="false" customHeight="false" outlineLevel="0" collapsed="false">
      <c r="A406" s="2" t="n">
        <v>405</v>
      </c>
      <c r="B406" s="2" t="s">
        <v>371</v>
      </c>
      <c r="C406" s="2" t="s">
        <v>430</v>
      </c>
      <c r="D406" s="2" t="s">
        <v>14</v>
      </c>
      <c r="E406" s="3" t="n">
        <v>12867</v>
      </c>
      <c r="F406" s="4" t="n">
        <v>12763.3</v>
      </c>
      <c r="G406" s="4" t="n">
        <v>385.8</v>
      </c>
      <c r="H406" s="4"/>
      <c r="I406" s="4" t="n">
        <v>1754.6</v>
      </c>
      <c r="J406" s="4" t="n">
        <v>1488.6</v>
      </c>
      <c r="K406" s="4" t="n">
        <v>1499.8</v>
      </c>
      <c r="L406" s="4" t="n">
        <f aca="false">IF(COUNT(I406:K406)=0,"",SUM(I406:K406))</f>
        <v>4743</v>
      </c>
    </row>
    <row r="407" customFormat="false" ht="15" hidden="false" customHeight="false" outlineLevel="0" collapsed="false">
      <c r="A407" s="2" t="n">
        <v>406</v>
      </c>
      <c r="B407" s="2" t="s">
        <v>371</v>
      </c>
      <c r="C407" s="2" t="s">
        <v>431</v>
      </c>
      <c r="D407" s="2" t="s">
        <v>14</v>
      </c>
      <c r="E407" s="3" t="n">
        <v>12885</v>
      </c>
      <c r="F407" s="4" t="n">
        <v>12835.6</v>
      </c>
      <c r="G407" s="4" t="n">
        <v>630.5</v>
      </c>
      <c r="H407" s="4"/>
      <c r="I407" s="4" t="n">
        <v>2867.4</v>
      </c>
      <c r="J407" s="4" t="n">
        <v>2432.7</v>
      </c>
      <c r="K407" s="4" t="n">
        <v>2451</v>
      </c>
      <c r="L407" s="4" t="n">
        <f aca="false">IF(COUNT(I407:K407)=0,"",SUM(I407:K407))</f>
        <v>7751.1</v>
      </c>
    </row>
    <row r="408" customFormat="false" ht="15" hidden="false" customHeight="false" outlineLevel="0" collapsed="false">
      <c r="A408" s="2" t="n">
        <v>407</v>
      </c>
      <c r="B408" s="2" t="s">
        <v>371</v>
      </c>
      <c r="C408" s="2" t="s">
        <v>432</v>
      </c>
      <c r="D408" s="2" t="s">
        <v>14</v>
      </c>
      <c r="E408" s="3" t="n">
        <v>4</v>
      </c>
      <c r="F408" s="4" t="n">
        <v>41960</v>
      </c>
      <c r="G408" s="4" t="n">
        <v>1666.6</v>
      </c>
      <c r="H408" s="4"/>
      <c r="I408" s="4" t="n">
        <v>7592.5</v>
      </c>
      <c r="J408" s="4" t="n">
        <v>6453.4</v>
      </c>
      <c r="K408" s="4" t="n">
        <v>6328.3</v>
      </c>
      <c r="L408" s="4" t="n">
        <f aca="false">IF(COUNT(I408:K408)=0,"",SUM(I408:K408))</f>
        <v>20374.2</v>
      </c>
    </row>
    <row r="409" customFormat="false" ht="15" hidden="false" customHeight="false" outlineLevel="0" collapsed="false">
      <c r="A409" s="2" t="n">
        <v>408</v>
      </c>
      <c r="B409" s="2" t="s">
        <v>371</v>
      </c>
      <c r="C409" s="2" t="s">
        <v>433</v>
      </c>
      <c r="D409" s="2" t="s">
        <v>14</v>
      </c>
      <c r="E409" s="3"/>
      <c r="F409" s="4" t="n">
        <v>12.4</v>
      </c>
      <c r="G409" s="4" t="n">
        <v>0.7</v>
      </c>
      <c r="H409" s="4" t="n">
        <v>1</v>
      </c>
      <c r="I409" s="4" t="n">
        <v>3.1</v>
      </c>
      <c r="J409" s="4" t="n">
        <v>2.6</v>
      </c>
      <c r="K409" s="4" t="n">
        <v>2.6</v>
      </c>
      <c r="L409" s="4" t="n">
        <f aca="false">IF(COUNT(I409:K409)=0,"",SUM(I409:K409))</f>
        <v>8.3</v>
      </c>
    </row>
    <row r="410" customFormat="false" ht="15" hidden="false" customHeight="false" outlineLevel="0" collapsed="false">
      <c r="A410" s="2" t="n">
        <v>409</v>
      </c>
      <c r="B410" s="2" t="s">
        <v>371</v>
      </c>
      <c r="C410" s="2" t="s">
        <v>434</v>
      </c>
      <c r="D410" s="2" t="s">
        <v>14</v>
      </c>
      <c r="E410" s="3" t="n">
        <v>807</v>
      </c>
      <c r="F410" s="4" t="n">
        <v>783.8</v>
      </c>
      <c r="G410" s="4" t="n">
        <v>43.2</v>
      </c>
      <c r="H410" s="4" t="n">
        <v>40</v>
      </c>
      <c r="I410" s="4" t="n">
        <v>196.7</v>
      </c>
      <c r="J410" s="4" t="n">
        <v>166.9</v>
      </c>
      <c r="K410" s="4" t="n">
        <v>168.1</v>
      </c>
      <c r="L410" s="4" t="n">
        <f aca="false">IF(COUNT(I410:K410)=0,"",SUM(I410:K410))</f>
        <v>531.7</v>
      </c>
    </row>
    <row r="411" customFormat="false" ht="15" hidden="false" customHeight="false" outlineLevel="0" collapsed="false">
      <c r="A411" s="2" t="n">
        <v>410</v>
      </c>
      <c r="B411" s="2" t="s">
        <v>371</v>
      </c>
      <c r="C411" s="2" t="s">
        <v>435</v>
      </c>
      <c r="D411" s="2" t="s">
        <v>14</v>
      </c>
      <c r="E411" s="3" t="n">
        <v>9305</v>
      </c>
      <c r="F411" s="4" t="n">
        <v>8812.6</v>
      </c>
      <c r="G411" s="4" t="n">
        <v>352.3</v>
      </c>
      <c r="H411" s="4" t="n">
        <v>546</v>
      </c>
      <c r="I411" s="4" t="n">
        <v>1299.1</v>
      </c>
      <c r="J411" s="4" t="n">
        <v>1102.2</v>
      </c>
      <c r="K411" s="4" t="n">
        <v>1110.5</v>
      </c>
      <c r="L411" s="4" t="n">
        <f aca="false">IF(COUNT(I411:K411)=0,"",SUM(I411:K411))</f>
        <v>3511.8</v>
      </c>
    </row>
    <row r="412" customFormat="false" ht="15" hidden="false" customHeight="false" outlineLevel="0" collapsed="false">
      <c r="A412" s="2" t="n">
        <v>411</v>
      </c>
      <c r="B412" s="2" t="s">
        <v>371</v>
      </c>
      <c r="C412" s="2" t="s">
        <v>436</v>
      </c>
      <c r="D412" s="2" t="s">
        <v>14</v>
      </c>
      <c r="E412" s="3" t="n">
        <v>1565</v>
      </c>
      <c r="F412" s="4" t="n">
        <v>1593.3</v>
      </c>
      <c r="G412" s="4" t="n">
        <v>61.7</v>
      </c>
      <c r="H412" s="4" t="n">
        <v>71</v>
      </c>
      <c r="I412" s="4" t="n">
        <v>281.2</v>
      </c>
      <c r="J412" s="4" t="n">
        <v>238.3</v>
      </c>
      <c r="K412" s="4" t="n">
        <v>233.6</v>
      </c>
      <c r="L412" s="4" t="n">
        <f aca="false">IF(COUNT(I412:K412)=0,"",SUM(I412:K412))</f>
        <v>753.1</v>
      </c>
    </row>
    <row r="413" customFormat="false" ht="15" hidden="false" customHeight="false" outlineLevel="0" collapsed="false">
      <c r="A413" s="2" t="n">
        <v>412</v>
      </c>
      <c r="B413" s="2" t="s">
        <v>371</v>
      </c>
      <c r="C413" s="2" t="s">
        <v>437</v>
      </c>
      <c r="D413" s="2" t="s">
        <v>14</v>
      </c>
      <c r="E413" s="3" t="n">
        <v>1162</v>
      </c>
      <c r="F413" s="4" t="n">
        <v>1152.8</v>
      </c>
      <c r="G413" s="4" t="n">
        <v>8.8</v>
      </c>
      <c r="H413" s="4"/>
      <c r="I413" s="4" t="n">
        <v>39.2</v>
      </c>
      <c r="J413" s="4" t="n">
        <v>33.2</v>
      </c>
      <c r="K413" s="4" t="n">
        <v>32.6</v>
      </c>
      <c r="L413" s="4" t="n">
        <f aca="false">IF(COUNT(I413:K413)=0,"",SUM(I413:K413))</f>
        <v>105</v>
      </c>
    </row>
    <row r="414" customFormat="false" ht="15" hidden="false" customHeight="false" outlineLevel="0" collapsed="false">
      <c r="A414" s="2" t="n">
        <v>413</v>
      </c>
      <c r="B414" s="2" t="s">
        <v>371</v>
      </c>
      <c r="C414" s="2" t="s">
        <v>438</v>
      </c>
      <c r="D414" s="2" t="s">
        <v>14</v>
      </c>
      <c r="E414" s="3" t="n">
        <v>12153</v>
      </c>
      <c r="F414" s="4" t="n">
        <v>11894.6</v>
      </c>
      <c r="G414" s="4" t="n">
        <v>420.1</v>
      </c>
      <c r="H414" s="4"/>
      <c r="I414" s="4" t="n">
        <v>1910.4</v>
      </c>
      <c r="J414" s="4" t="n">
        <v>1646.5</v>
      </c>
      <c r="K414" s="4" t="n">
        <v>2008.4</v>
      </c>
      <c r="L414" s="4" t="n">
        <f aca="false">IF(COUNT(I414:K414)=0,"",SUM(I414:K414))</f>
        <v>5565.3</v>
      </c>
    </row>
    <row r="415" customFormat="false" ht="15" hidden="false" customHeight="false" outlineLevel="0" collapsed="false">
      <c r="A415" s="2" t="n">
        <v>414</v>
      </c>
      <c r="B415" s="2" t="s">
        <v>371</v>
      </c>
      <c r="C415" s="2" t="s">
        <v>439</v>
      </c>
      <c r="D415" s="2" t="s">
        <v>14</v>
      </c>
      <c r="E415" s="3" t="n">
        <v>4871</v>
      </c>
      <c r="F415" s="4" t="n">
        <v>4883.5</v>
      </c>
      <c r="G415" s="4" t="n">
        <v>79.2</v>
      </c>
      <c r="H415" s="4"/>
      <c r="I415" s="4" t="n">
        <v>350.9</v>
      </c>
      <c r="J415" s="4" t="n">
        <v>297.7</v>
      </c>
      <c r="K415" s="4" t="n">
        <v>291.7</v>
      </c>
      <c r="L415" s="4" t="n">
        <f aca="false">IF(COUNT(I415:K415)=0,"",SUM(I415:K415))</f>
        <v>940.3</v>
      </c>
    </row>
    <row r="416" customFormat="false" ht="15" hidden="false" customHeight="false" outlineLevel="0" collapsed="false">
      <c r="A416" s="2" t="n">
        <v>415</v>
      </c>
      <c r="B416" s="2" t="s">
        <v>371</v>
      </c>
      <c r="C416" s="2" t="s">
        <v>440</v>
      </c>
      <c r="D416" s="2" t="s">
        <v>14</v>
      </c>
      <c r="E416" s="3" t="n">
        <v>1640</v>
      </c>
      <c r="F416" s="4" t="n">
        <v>1431.7</v>
      </c>
      <c r="G416" s="4" t="n">
        <v>93.6</v>
      </c>
      <c r="H416" s="4"/>
      <c r="I416" s="4" t="n">
        <v>414.7</v>
      </c>
      <c r="J416" s="4" t="n">
        <v>351.8</v>
      </c>
      <c r="K416" s="4" t="n">
        <v>344.8</v>
      </c>
      <c r="L416" s="4" t="n">
        <f aca="false">IF(COUNT(I416:K416)=0,"",SUM(I416:K416))</f>
        <v>1111.3</v>
      </c>
    </row>
    <row r="417" customFormat="false" ht="15" hidden="false" customHeight="false" outlineLevel="0" collapsed="false">
      <c r="A417" s="2" t="n">
        <v>416</v>
      </c>
      <c r="B417" s="2" t="s">
        <v>371</v>
      </c>
      <c r="C417" s="2" t="s">
        <v>441</v>
      </c>
      <c r="D417" s="2" t="s">
        <v>14</v>
      </c>
      <c r="E417" s="3" t="n">
        <v>144</v>
      </c>
      <c r="F417" s="4" t="n">
        <v>144</v>
      </c>
      <c r="G417" s="4" t="n">
        <v>0</v>
      </c>
      <c r="H417" s="4"/>
      <c r="I417" s="4" t="n">
        <v>0</v>
      </c>
      <c r="J417" s="4" t="n">
        <v>0</v>
      </c>
      <c r="K417" s="4" t="n">
        <v>0</v>
      </c>
      <c r="L417" s="4" t="n">
        <f aca="false">IF(COUNT(I417:K417)=0,"",SUM(I417:K417))</f>
        <v>0</v>
      </c>
    </row>
    <row r="418" customFormat="false" ht="15" hidden="false" customHeight="false" outlineLevel="0" collapsed="false">
      <c r="A418" s="2" t="n">
        <v>417</v>
      </c>
      <c r="B418" s="2" t="s">
        <v>371</v>
      </c>
      <c r="C418" s="2" t="s">
        <v>442</v>
      </c>
      <c r="D418" s="2" t="s">
        <v>14</v>
      </c>
      <c r="E418" s="3" t="n">
        <v>63</v>
      </c>
      <c r="F418" s="4" t="n">
        <v>42.3</v>
      </c>
      <c r="G418" s="4" t="n">
        <v>3.3</v>
      </c>
      <c r="H418" s="4"/>
      <c r="I418" s="4" t="n">
        <v>0</v>
      </c>
      <c r="J418" s="4" t="n">
        <v>0</v>
      </c>
      <c r="K418" s="4" t="n">
        <v>0</v>
      </c>
      <c r="L418" s="4" t="n">
        <f aca="false">IF(COUNT(I418:K418)=0,"",SUM(I418:K418))</f>
        <v>0</v>
      </c>
    </row>
    <row r="419" customFormat="false" ht="15" hidden="false" customHeight="false" outlineLevel="0" collapsed="false">
      <c r="A419" s="2" t="n">
        <v>418</v>
      </c>
      <c r="B419" s="2" t="s">
        <v>371</v>
      </c>
      <c r="C419" s="2" t="s">
        <v>443</v>
      </c>
      <c r="D419" s="2" t="s">
        <v>14</v>
      </c>
      <c r="E419" s="3" t="n">
        <v>322</v>
      </c>
      <c r="F419" s="4" t="n">
        <v>328.3</v>
      </c>
      <c r="G419" s="4" t="n">
        <v>31.5</v>
      </c>
      <c r="H419" s="4"/>
      <c r="I419" s="4" t="n">
        <v>139.4</v>
      </c>
      <c r="J419" s="4" t="n">
        <v>118.3</v>
      </c>
      <c r="K419" s="4" t="n">
        <v>115.9</v>
      </c>
      <c r="L419" s="4" t="n">
        <f aca="false">IF(COUNT(I419:K419)=0,"",SUM(I419:K419))</f>
        <v>373.6</v>
      </c>
    </row>
    <row r="420" customFormat="false" ht="15" hidden="false" customHeight="false" outlineLevel="0" collapsed="false">
      <c r="A420" s="2" t="n">
        <v>419</v>
      </c>
      <c r="B420" s="2" t="s">
        <v>371</v>
      </c>
      <c r="C420" s="2" t="s">
        <v>444</v>
      </c>
      <c r="D420" s="2" t="s">
        <v>14</v>
      </c>
      <c r="E420" s="3" t="n">
        <v>39</v>
      </c>
      <c r="F420" s="4" t="n">
        <v>13.3</v>
      </c>
      <c r="G420" s="4" t="n">
        <v>3.3</v>
      </c>
      <c r="H420" s="4"/>
      <c r="I420" s="4" t="n">
        <v>0</v>
      </c>
      <c r="J420" s="4" t="n">
        <v>0</v>
      </c>
      <c r="K420" s="4" t="n">
        <v>0</v>
      </c>
      <c r="L420" s="4" t="n">
        <f aca="false">IF(COUNT(I420:K420)=0,"",SUM(I420:K420))</f>
        <v>0</v>
      </c>
    </row>
    <row r="421" customFormat="false" ht="15" hidden="false" customHeight="false" outlineLevel="0" collapsed="false">
      <c r="A421" s="2" t="n">
        <v>420</v>
      </c>
      <c r="B421" s="2" t="s">
        <v>371</v>
      </c>
      <c r="C421" s="8" t="s">
        <v>445</v>
      </c>
      <c r="D421" s="2" t="s">
        <v>14</v>
      </c>
      <c r="E421" s="3"/>
      <c r="F421" s="4" t="n">
        <v>215.2</v>
      </c>
      <c r="G421" s="4" t="n">
        <v>92.8</v>
      </c>
      <c r="H421" s="4" t="n">
        <v>104</v>
      </c>
      <c r="I421" s="4" t="n">
        <v>421.8</v>
      </c>
      <c r="J421" s="4" t="n">
        <v>357.9</v>
      </c>
      <c r="K421" s="4" t="n">
        <v>360.6</v>
      </c>
      <c r="L421" s="4" t="n">
        <f aca="false">IF(COUNT(I421:K421)=0,"",SUM(I421:K421))</f>
        <v>1140.3</v>
      </c>
    </row>
    <row r="422" customFormat="false" ht="15" hidden="false" customHeight="false" outlineLevel="0" collapsed="false">
      <c r="A422" s="2" t="n">
        <v>421</v>
      </c>
      <c r="B422" s="2" t="s">
        <v>371</v>
      </c>
      <c r="C422" s="8" t="s">
        <v>446</v>
      </c>
      <c r="D422" s="2" t="s">
        <v>14</v>
      </c>
      <c r="E422" s="3"/>
      <c r="F422" s="4" t="n">
        <v>0</v>
      </c>
      <c r="G422" s="4" t="n">
        <v>0</v>
      </c>
      <c r="H422" s="4"/>
      <c r="I422" s="4" t="n">
        <v>0</v>
      </c>
      <c r="J422" s="4" t="n">
        <v>0</v>
      </c>
      <c r="K422" s="4" t="n">
        <v>0</v>
      </c>
      <c r="L422" s="4" t="n">
        <f aca="false">IF(COUNT(I422:K422)=0,"",SUM(I422:K422))</f>
        <v>0</v>
      </c>
    </row>
    <row r="423" customFormat="false" ht="15" hidden="false" customHeight="false" outlineLevel="0" collapsed="false">
      <c r="A423" s="2" t="n">
        <v>422</v>
      </c>
      <c r="B423" s="2" t="s">
        <v>371</v>
      </c>
      <c r="C423" s="8" t="s">
        <v>447</v>
      </c>
      <c r="D423" s="2" t="s">
        <v>14</v>
      </c>
      <c r="E423" s="3"/>
      <c r="F423" s="4" t="n">
        <v>15790.6</v>
      </c>
      <c r="G423" s="4" t="n">
        <v>630.5</v>
      </c>
      <c r="H423" s="4"/>
      <c r="I423" s="4" t="n">
        <v>2867.4</v>
      </c>
      <c r="J423" s="4" t="n">
        <v>2432.7</v>
      </c>
      <c r="K423" s="4"/>
      <c r="L423" s="4" t="n">
        <f aca="false">IF(COUNT(I423:K423)=0,"",SUM(I423:K423))</f>
        <v>5300.1</v>
      </c>
    </row>
    <row r="424" customFormat="false" ht="15" hidden="false" customHeight="false" outlineLevel="0" collapsed="false">
      <c r="A424" s="2" t="n">
        <v>423</v>
      </c>
      <c r="B424" s="2" t="s">
        <v>371</v>
      </c>
      <c r="C424" s="8" t="s">
        <v>448</v>
      </c>
      <c r="D424" s="2" t="s">
        <v>14</v>
      </c>
      <c r="E424" s="3"/>
      <c r="F424" s="4" t="n">
        <v>14595.3</v>
      </c>
      <c r="G424" s="4" t="n">
        <v>385.8</v>
      </c>
      <c r="H424" s="4"/>
      <c r="I424" s="4" t="n">
        <v>1754.6</v>
      </c>
      <c r="J424" s="4" t="n">
        <v>1488.6</v>
      </c>
      <c r="K424" s="4"/>
      <c r="L424" s="4" t="n">
        <f aca="false">IF(COUNT(I424:K424)=0,"",SUM(I424:K424))</f>
        <v>3243.2</v>
      </c>
    </row>
    <row r="425" customFormat="false" ht="15" hidden="false" customHeight="false" outlineLevel="0" collapsed="false">
      <c r="A425" s="2" t="n">
        <v>424</v>
      </c>
      <c r="B425" s="2" t="s">
        <v>449</v>
      </c>
      <c r="C425" s="2" t="s">
        <v>450</v>
      </c>
      <c r="D425" s="2" t="s">
        <v>14</v>
      </c>
      <c r="E425" s="3" t="n">
        <v>26</v>
      </c>
      <c r="F425" s="4" t="n">
        <v>24.3</v>
      </c>
      <c r="G425" s="4" t="n">
        <v>4.7</v>
      </c>
      <c r="H425" s="4"/>
      <c r="I425" s="4" t="n">
        <v>20</v>
      </c>
      <c r="J425" s="4" t="n">
        <v>0</v>
      </c>
      <c r="K425" s="4" t="n">
        <v>0</v>
      </c>
      <c r="L425" s="4" t="n">
        <f aca="false">IF(COUNT(I425:K425)=0,"",SUM(I425:K425))</f>
        <v>20</v>
      </c>
    </row>
    <row r="426" customFormat="false" ht="15" hidden="false" customHeight="false" outlineLevel="0" collapsed="false">
      <c r="A426" s="2" t="n">
        <v>425</v>
      </c>
      <c r="B426" s="2" t="s">
        <v>449</v>
      </c>
      <c r="C426" s="2" t="s">
        <v>451</v>
      </c>
      <c r="D426" s="2" t="s">
        <v>14</v>
      </c>
      <c r="E426" s="3" t="n">
        <v>26</v>
      </c>
      <c r="F426" s="4" t="n">
        <v>26</v>
      </c>
      <c r="G426" s="4" t="n">
        <v>0</v>
      </c>
      <c r="H426" s="4"/>
      <c r="I426" s="4" t="n">
        <v>0</v>
      </c>
      <c r="J426" s="4" t="n">
        <v>0</v>
      </c>
      <c r="K426" s="4" t="n">
        <v>0</v>
      </c>
      <c r="L426" s="4" t="n">
        <f aca="false">IF(COUNT(I426:K426)=0,"",SUM(I426:K426))</f>
        <v>0</v>
      </c>
    </row>
    <row r="427" customFormat="false" ht="15" hidden="false" customHeight="false" outlineLevel="0" collapsed="false">
      <c r="A427" s="2" t="n">
        <v>426</v>
      </c>
      <c r="B427" s="2" t="s">
        <v>449</v>
      </c>
      <c r="C427" s="2" t="s">
        <v>452</v>
      </c>
      <c r="D427" s="2" t="s">
        <v>14</v>
      </c>
      <c r="E427" s="3" t="n">
        <v>1</v>
      </c>
      <c r="F427" s="4" t="n">
        <v>1</v>
      </c>
      <c r="G427" s="4" t="n">
        <v>0</v>
      </c>
      <c r="H427" s="4"/>
      <c r="I427" s="4" t="n">
        <v>0</v>
      </c>
      <c r="J427" s="4" t="n">
        <v>0</v>
      </c>
      <c r="K427" s="4" t="n">
        <v>0</v>
      </c>
      <c r="L427" s="4" t="n">
        <f aca="false">IF(COUNT(I427:K427)=0,"",SUM(I427:K427))</f>
        <v>0</v>
      </c>
    </row>
    <row r="428" customFormat="false" ht="15" hidden="false" customHeight="false" outlineLevel="0" collapsed="false">
      <c r="A428" s="2" t="n">
        <v>427</v>
      </c>
      <c r="B428" s="2" t="s">
        <v>449</v>
      </c>
      <c r="C428" s="2" t="s">
        <v>453</v>
      </c>
      <c r="D428" s="2" t="s">
        <v>14</v>
      </c>
      <c r="E428" s="3" t="n">
        <v>421</v>
      </c>
      <c r="F428" s="4" t="n">
        <v>213</v>
      </c>
      <c r="G428" s="4" t="n">
        <v>140.3</v>
      </c>
      <c r="H428" s="4"/>
      <c r="I428" s="4" t="n">
        <v>622.1</v>
      </c>
      <c r="J428" s="4" t="n">
        <v>527.8</v>
      </c>
      <c r="K428" s="4" t="n">
        <v>517.2</v>
      </c>
      <c r="L428" s="4" t="n">
        <f aca="false">IF(COUNT(I428:K428)=0,"",SUM(I428:K428))</f>
        <v>1667.1</v>
      </c>
    </row>
    <row r="429" customFormat="false" ht="15" hidden="false" customHeight="false" outlineLevel="0" collapsed="false">
      <c r="A429" s="2" t="n">
        <v>428</v>
      </c>
      <c r="B429" s="2" t="s">
        <v>449</v>
      </c>
      <c r="C429" s="2" t="s">
        <v>454</v>
      </c>
      <c r="D429" s="2" t="s">
        <v>14</v>
      </c>
      <c r="E429" s="3" t="n">
        <v>77</v>
      </c>
      <c r="F429" s="4" t="n">
        <v>53.5</v>
      </c>
      <c r="G429" s="4" t="n">
        <v>3.8</v>
      </c>
      <c r="H429" s="4"/>
      <c r="I429" s="4" t="n">
        <v>0</v>
      </c>
      <c r="J429" s="4" t="n">
        <v>0</v>
      </c>
      <c r="K429" s="4" t="n">
        <v>0</v>
      </c>
      <c r="L429" s="4" t="n">
        <f aca="false">IF(COUNT(I429:K429)=0,"",SUM(I429:K429))</f>
        <v>0</v>
      </c>
    </row>
    <row r="430" customFormat="false" ht="15" hidden="false" customHeight="false" outlineLevel="0" collapsed="false">
      <c r="A430" s="2" t="n">
        <v>429</v>
      </c>
      <c r="B430" s="2" t="s">
        <v>449</v>
      </c>
      <c r="C430" s="8" t="s">
        <v>455</v>
      </c>
      <c r="D430" s="2" t="s">
        <v>14</v>
      </c>
      <c r="E430" s="3" t="n">
        <v>440</v>
      </c>
      <c r="F430" s="4" t="n">
        <v>454.6</v>
      </c>
      <c r="G430" s="4" t="n">
        <v>3.7</v>
      </c>
      <c r="H430" s="4"/>
      <c r="I430" s="4" t="n">
        <v>16.4</v>
      </c>
      <c r="J430" s="4" t="n">
        <v>13.9</v>
      </c>
      <c r="K430" s="4" t="n">
        <v>13.6</v>
      </c>
      <c r="L430" s="4" t="n">
        <f aca="false">IF(COUNT(I430:K430)=0,"",SUM(I430:K430))</f>
        <v>43.9</v>
      </c>
    </row>
    <row r="431" customFormat="false" ht="15" hidden="false" customHeight="false" outlineLevel="0" collapsed="false">
      <c r="A431" s="2" t="n">
        <v>430</v>
      </c>
      <c r="B431" s="2" t="s">
        <v>449</v>
      </c>
      <c r="C431" s="8" t="s">
        <v>456</v>
      </c>
      <c r="D431" s="2" t="s">
        <v>14</v>
      </c>
      <c r="E431" s="3" t="n">
        <v>947</v>
      </c>
      <c r="F431" s="4" t="n">
        <v>956.6</v>
      </c>
      <c r="G431" s="4" t="n">
        <v>3.7</v>
      </c>
      <c r="H431" s="4"/>
      <c r="I431" s="4" t="n">
        <v>16.4</v>
      </c>
      <c r="J431" s="4" t="n">
        <v>13.9</v>
      </c>
      <c r="K431" s="4" t="n">
        <v>13.6</v>
      </c>
      <c r="L431" s="4" t="n">
        <f aca="false">IF(COUNT(I431:K431)=0,"",SUM(I431:K431))</f>
        <v>43.9</v>
      </c>
    </row>
    <row r="432" customFormat="false" ht="15" hidden="false" customHeight="false" outlineLevel="0" collapsed="false">
      <c r="A432" s="2" t="n">
        <v>431</v>
      </c>
      <c r="B432" s="2" t="s">
        <v>457</v>
      </c>
      <c r="C432" s="2" t="s">
        <v>458</v>
      </c>
      <c r="D432" s="2" t="s">
        <v>14</v>
      </c>
      <c r="E432" s="3" t="n">
        <v>15441</v>
      </c>
      <c r="F432" s="4" t="n">
        <v>15463.6</v>
      </c>
      <c r="G432" s="4" t="n">
        <v>903.7</v>
      </c>
      <c r="H432" s="4"/>
      <c r="I432" s="4" t="n">
        <v>4002.1</v>
      </c>
      <c r="J432" s="4" t="n">
        <v>3411.5</v>
      </c>
      <c r="K432" s="4" t="n">
        <v>3240.4</v>
      </c>
      <c r="L432" s="4" t="n">
        <f aca="false">IF(COUNT(I432:K432)=0,"",SUM(I432:K432))</f>
        <v>10654</v>
      </c>
    </row>
    <row r="433" customFormat="false" ht="15" hidden="false" customHeight="false" outlineLevel="0" collapsed="false">
      <c r="A433" s="2" t="n">
        <v>432</v>
      </c>
      <c r="B433" s="2" t="s">
        <v>457</v>
      </c>
      <c r="C433" s="2" t="s">
        <v>459</v>
      </c>
      <c r="D433" s="2" t="s">
        <v>14</v>
      </c>
      <c r="E433" s="3"/>
      <c r="F433" s="4" t="n">
        <v>14.7</v>
      </c>
      <c r="G433" s="4" t="n">
        <v>1</v>
      </c>
      <c r="H433" s="4"/>
      <c r="I433" s="4" t="n">
        <v>4.6</v>
      </c>
      <c r="J433" s="4" t="n">
        <v>3.9</v>
      </c>
      <c r="K433" s="4" t="n">
        <v>3.7</v>
      </c>
      <c r="L433" s="4" t="n">
        <f aca="false">IF(COUNT(I433:K433)=0,"",SUM(I433:K433))</f>
        <v>12.2</v>
      </c>
    </row>
    <row r="434" customFormat="false" ht="15" hidden="false" customHeight="false" outlineLevel="0" collapsed="false">
      <c r="A434" s="2" t="n">
        <v>433</v>
      </c>
      <c r="B434" s="2" t="s">
        <v>457</v>
      </c>
      <c r="C434" s="2" t="s">
        <v>460</v>
      </c>
      <c r="D434" s="2" t="s">
        <v>14</v>
      </c>
      <c r="E434" s="3" t="n">
        <v>633</v>
      </c>
      <c r="F434" s="4" t="n">
        <v>633</v>
      </c>
      <c r="G434" s="4" t="n">
        <v>0</v>
      </c>
      <c r="H434" s="4"/>
      <c r="I434" s="4" t="n">
        <v>0</v>
      </c>
      <c r="J434" s="4" t="n">
        <v>0</v>
      </c>
      <c r="K434" s="4" t="n">
        <v>0</v>
      </c>
      <c r="L434" s="4" t="n">
        <f aca="false">IF(COUNT(I434:K434)=0,"",SUM(I434:K434))</f>
        <v>0</v>
      </c>
    </row>
    <row r="435" customFormat="false" ht="15" hidden="false" customHeight="false" outlineLevel="0" collapsed="false">
      <c r="A435" s="2" t="n">
        <v>434</v>
      </c>
      <c r="B435" s="2" t="s">
        <v>457</v>
      </c>
      <c r="C435" s="2" t="s">
        <v>461</v>
      </c>
      <c r="D435" s="2" t="s">
        <v>14</v>
      </c>
      <c r="E435" s="3" t="n">
        <v>117</v>
      </c>
      <c r="F435" s="4" t="n">
        <v>71.1</v>
      </c>
      <c r="G435" s="4" t="n">
        <v>51.9</v>
      </c>
      <c r="H435" s="4"/>
      <c r="I435" s="4" t="n">
        <v>229.6</v>
      </c>
      <c r="J435" s="4" t="n">
        <v>195.7</v>
      </c>
      <c r="K435" s="4" t="n">
        <v>185.9</v>
      </c>
      <c r="L435" s="4" t="n">
        <f aca="false">IF(COUNT(I435:K435)=0,"",SUM(I435:K435))</f>
        <v>611.2</v>
      </c>
    </row>
    <row r="436" customFormat="false" ht="15" hidden="false" customHeight="false" outlineLevel="0" collapsed="false">
      <c r="A436" s="2" t="n">
        <v>435</v>
      </c>
      <c r="B436" s="2" t="s">
        <v>457</v>
      </c>
      <c r="C436" s="2" t="s">
        <v>462</v>
      </c>
      <c r="D436" s="2" t="s">
        <v>14</v>
      </c>
      <c r="E436" s="3"/>
      <c r="F436" s="4" t="n">
        <v>0</v>
      </c>
      <c r="G436" s="4" t="n">
        <v>0</v>
      </c>
      <c r="H436" s="4"/>
      <c r="I436" s="4" t="n">
        <v>0</v>
      </c>
      <c r="J436" s="4" t="n">
        <v>0</v>
      </c>
      <c r="K436" s="4" t="n">
        <v>0</v>
      </c>
      <c r="L436" s="4" t="n">
        <f aca="false">IF(COUNT(I436:K436)=0,"",SUM(I436:K436))</f>
        <v>0</v>
      </c>
    </row>
    <row r="437" customFormat="false" ht="15" hidden="false" customHeight="false" outlineLevel="0" collapsed="false">
      <c r="A437" s="2" t="n">
        <v>436</v>
      </c>
      <c r="B437" s="2" t="s">
        <v>457</v>
      </c>
      <c r="C437" s="2" t="s">
        <v>463</v>
      </c>
      <c r="D437" s="2" t="s">
        <v>14</v>
      </c>
      <c r="E437" s="3" t="n">
        <v>39930</v>
      </c>
      <c r="F437" s="4" t="n">
        <v>39896</v>
      </c>
      <c r="G437" s="4" t="n">
        <v>2558.3</v>
      </c>
      <c r="H437" s="4"/>
      <c r="I437" s="4" t="n">
        <v>11329.5</v>
      </c>
      <c r="J437" s="4" t="n">
        <v>9657.5</v>
      </c>
      <c r="K437" s="4" t="n">
        <v>9173.1</v>
      </c>
      <c r="L437" s="4" t="n">
        <f aca="false">IF(COUNT(I437:K437)=0,"",SUM(I437:K437))</f>
        <v>30160.1</v>
      </c>
    </row>
    <row r="438" customFormat="false" ht="15" hidden="false" customHeight="false" outlineLevel="0" collapsed="false">
      <c r="A438" s="2" t="n">
        <v>437</v>
      </c>
      <c r="B438" s="2" t="s">
        <v>457</v>
      </c>
      <c r="C438" s="2" t="s">
        <v>464</v>
      </c>
      <c r="D438" s="2" t="s">
        <v>14</v>
      </c>
      <c r="E438" s="3" t="n">
        <v>4694</v>
      </c>
      <c r="F438" s="4" t="n">
        <v>4477.7</v>
      </c>
      <c r="G438" s="4" t="n">
        <v>800</v>
      </c>
      <c r="H438" s="4"/>
      <c r="I438" s="4" t="n">
        <v>3542.9</v>
      </c>
      <c r="J438" s="4" t="n">
        <v>3020</v>
      </c>
      <c r="K438" s="4" t="n">
        <v>2868.5</v>
      </c>
      <c r="L438" s="4" t="n">
        <f aca="false">IF(COUNT(I438:K438)=0,"",SUM(I438:K438))</f>
        <v>9431.4</v>
      </c>
    </row>
    <row r="439" customFormat="false" ht="15" hidden="false" customHeight="false" outlineLevel="0" collapsed="false">
      <c r="A439" s="2" t="n">
        <v>438</v>
      </c>
      <c r="B439" s="2" t="s">
        <v>457</v>
      </c>
      <c r="C439" s="2" t="s">
        <v>465</v>
      </c>
      <c r="D439" s="2" t="s">
        <v>14</v>
      </c>
      <c r="E439" s="3" t="n">
        <v>240</v>
      </c>
      <c r="F439" s="4" t="n">
        <v>71.9</v>
      </c>
      <c r="G439" s="4" t="n">
        <v>41.5</v>
      </c>
      <c r="H439" s="4"/>
      <c r="I439" s="4" t="n">
        <v>183.7</v>
      </c>
      <c r="J439" s="4" t="n">
        <v>156.6</v>
      </c>
      <c r="K439" s="4" t="n">
        <v>148.7</v>
      </c>
      <c r="L439" s="4" t="n">
        <f aca="false">IF(COUNT(I439:K439)=0,"",SUM(I439:K439))</f>
        <v>489</v>
      </c>
    </row>
    <row r="440" customFormat="false" ht="15" hidden="false" customHeight="false" outlineLevel="0" collapsed="false">
      <c r="A440" s="2" t="n">
        <v>439</v>
      </c>
      <c r="B440" s="2" t="s">
        <v>457</v>
      </c>
      <c r="C440" s="2" t="s">
        <v>466</v>
      </c>
      <c r="D440" s="2" t="s">
        <v>14</v>
      </c>
      <c r="E440" s="3" t="n">
        <v>456</v>
      </c>
      <c r="F440" s="4" t="n">
        <v>74</v>
      </c>
      <c r="G440" s="4" t="n">
        <v>0</v>
      </c>
      <c r="H440" s="4"/>
      <c r="I440" s="4" t="n">
        <v>0</v>
      </c>
      <c r="J440" s="4" t="n">
        <v>0</v>
      </c>
      <c r="K440" s="4" t="n">
        <v>0</v>
      </c>
      <c r="L440" s="4" t="n">
        <f aca="false">IF(COUNT(I440:K440)=0,"",SUM(I440:K440))</f>
        <v>0</v>
      </c>
    </row>
    <row r="441" customFormat="false" ht="15" hidden="false" customHeight="false" outlineLevel="0" collapsed="false">
      <c r="A441" s="2" t="n">
        <v>440</v>
      </c>
      <c r="B441" s="2" t="s">
        <v>457</v>
      </c>
      <c r="C441" s="2" t="s">
        <v>467</v>
      </c>
      <c r="D441" s="2" t="s">
        <v>14</v>
      </c>
      <c r="E441" s="3" t="n">
        <v>161</v>
      </c>
      <c r="F441" s="4" t="n">
        <v>105.9</v>
      </c>
      <c r="G441" s="4" t="n">
        <v>62.2</v>
      </c>
      <c r="H441" s="4"/>
      <c r="I441" s="4" t="n">
        <v>275.5</v>
      </c>
      <c r="J441" s="4" t="n">
        <v>234.9</v>
      </c>
      <c r="K441" s="4" t="n">
        <v>223.1</v>
      </c>
      <c r="L441" s="4" t="n">
        <f aca="false">IF(COUNT(I441:K441)=0,"",SUM(I441:K441))</f>
        <v>733.5</v>
      </c>
    </row>
    <row r="442" customFormat="false" ht="15" hidden="false" customHeight="false" outlineLevel="0" collapsed="false">
      <c r="A442" s="2" t="n">
        <v>441</v>
      </c>
      <c r="B442" s="2" t="s">
        <v>468</v>
      </c>
      <c r="C442" s="2" t="s">
        <v>469</v>
      </c>
      <c r="D442" s="2" t="s">
        <v>14</v>
      </c>
      <c r="E442" s="3"/>
      <c r="F442" s="4" t="n">
        <v>10668.3</v>
      </c>
      <c r="G442" s="4" t="n">
        <v>395.9</v>
      </c>
      <c r="H442" s="4"/>
      <c r="I442" s="4" t="n">
        <v>1751.9</v>
      </c>
      <c r="J442" s="4" t="n">
        <v>1505.1</v>
      </c>
      <c r="K442" s="4" t="n">
        <v>1474.9</v>
      </c>
      <c r="L442" s="4" t="n">
        <f aca="false">IF(COUNT(I442:K442)=0,"",SUM(I442:K442))</f>
        <v>4731.9</v>
      </c>
    </row>
    <row r="443" customFormat="false" ht="15" hidden="false" customHeight="false" outlineLevel="0" collapsed="false">
      <c r="A443" s="2" t="n">
        <v>442</v>
      </c>
      <c r="B443" s="2" t="s">
        <v>468</v>
      </c>
      <c r="C443" s="2" t="s">
        <v>470</v>
      </c>
      <c r="D443" s="2" t="s">
        <v>14</v>
      </c>
      <c r="E443" s="3"/>
      <c r="F443" s="4" t="n">
        <v>-173.3</v>
      </c>
      <c r="G443" s="4" t="n">
        <v>228</v>
      </c>
      <c r="H443" s="4"/>
      <c r="I443" s="4" t="n">
        <v>1000</v>
      </c>
      <c r="J443" s="4" t="n">
        <v>1000</v>
      </c>
      <c r="K443" s="4" t="n">
        <v>1000</v>
      </c>
      <c r="L443" s="4" t="n">
        <f aca="false">IF(COUNT(I443:K443)=0,"",SUM(I443:K443))</f>
        <v>3000</v>
      </c>
    </row>
    <row r="444" customFormat="false" ht="15" hidden="false" customHeight="false" outlineLevel="0" collapsed="false">
      <c r="A444" s="2" t="n">
        <v>443</v>
      </c>
      <c r="B444" s="2" t="s">
        <v>468</v>
      </c>
      <c r="C444" s="2" t="s">
        <v>471</v>
      </c>
      <c r="D444" s="2" t="s">
        <v>14</v>
      </c>
      <c r="E444" s="3"/>
      <c r="F444" s="4" t="n">
        <v>10495</v>
      </c>
      <c r="G444" s="4" t="n">
        <v>623.9</v>
      </c>
      <c r="H444" s="4"/>
      <c r="I444" s="4" t="n">
        <v>2751.9</v>
      </c>
      <c r="J444" s="4" t="n">
        <v>2505.1</v>
      </c>
      <c r="K444" s="4" t="n">
        <v>2474.9</v>
      </c>
      <c r="L444" s="4" t="n">
        <f aca="false">IF(COUNT(I444:K444)=0,"",SUM(I444:K444))</f>
        <v>7731.9</v>
      </c>
    </row>
    <row r="445" customFormat="false" ht="15" hidden="false" customHeight="false" outlineLevel="0" collapsed="false">
      <c r="A445" s="2" t="n">
        <v>444</v>
      </c>
      <c r="B445" s="2" t="s">
        <v>468</v>
      </c>
      <c r="C445" s="2" t="s">
        <v>472</v>
      </c>
      <c r="D445" s="2" t="s">
        <v>14</v>
      </c>
      <c r="E445" s="3"/>
      <c r="F445" s="4" t="n">
        <v>4596.4</v>
      </c>
      <c r="G445" s="4" t="n">
        <v>124.8</v>
      </c>
      <c r="H445" s="4"/>
      <c r="I445" s="4" t="n">
        <v>553.2</v>
      </c>
      <c r="J445" s="4" t="n">
        <v>469.3</v>
      </c>
      <c r="K445" s="4" t="n">
        <v>459.9</v>
      </c>
      <c r="L445" s="4" t="n">
        <f aca="false">IF(COUNT(I445:K445)=0,"",SUM(I445:K445))</f>
        <v>1482.4</v>
      </c>
    </row>
    <row r="446" customFormat="false" ht="15" hidden="false" customHeight="false" outlineLevel="0" collapsed="false">
      <c r="A446" s="2" t="n">
        <v>445</v>
      </c>
      <c r="B446" s="2" t="s">
        <v>468</v>
      </c>
      <c r="C446" s="2" t="s">
        <v>473</v>
      </c>
      <c r="D446" s="2" t="s">
        <v>14</v>
      </c>
      <c r="E446" s="3" t="n">
        <v>4016</v>
      </c>
      <c r="F446" s="4" t="n">
        <v>4087.8</v>
      </c>
      <c r="G446" s="4" t="n">
        <v>97.4</v>
      </c>
      <c r="H446" s="4"/>
      <c r="I446" s="4" t="n">
        <v>432</v>
      </c>
      <c r="J446" s="4" t="n">
        <v>366.5</v>
      </c>
      <c r="K446" s="4" t="n">
        <v>359.2</v>
      </c>
      <c r="L446" s="4" t="n">
        <f aca="false">IF(COUNT(I446:K446)=0,"",SUM(I446:K446))</f>
        <v>1157.7</v>
      </c>
    </row>
    <row r="447" customFormat="false" ht="15" hidden="false" customHeight="false" outlineLevel="0" collapsed="false">
      <c r="A447" s="2" t="n">
        <v>446</v>
      </c>
      <c r="B447" s="2" t="s">
        <v>468</v>
      </c>
      <c r="C447" s="2" t="s">
        <v>474</v>
      </c>
      <c r="D447" s="2" t="s">
        <v>14</v>
      </c>
      <c r="E447" s="3"/>
      <c r="F447" s="4" t="n">
        <v>21166.3</v>
      </c>
      <c r="G447" s="4" t="n">
        <v>395.9</v>
      </c>
      <c r="H447" s="4"/>
      <c r="I447" s="4" t="n">
        <v>1751.9</v>
      </c>
      <c r="J447" s="4" t="n">
        <v>1505.1</v>
      </c>
      <c r="K447" s="4" t="n">
        <v>1474.9</v>
      </c>
      <c r="L447" s="4" t="n">
        <f aca="false">IF(COUNT(I447:K447)=0,"",SUM(I447:K447))</f>
        <v>4731.9</v>
      </c>
    </row>
    <row r="448" customFormat="false" ht="15" hidden="false" customHeight="false" outlineLevel="0" collapsed="false">
      <c r="A448" s="2" t="n">
        <v>447</v>
      </c>
      <c r="B448" s="8" t="s">
        <v>475</v>
      </c>
      <c r="C448" s="2" t="s">
        <v>476</v>
      </c>
      <c r="D448" s="2" t="s">
        <v>14</v>
      </c>
      <c r="E448" s="3" t="n">
        <v>895</v>
      </c>
      <c r="F448" s="4" t="n">
        <v>889.8</v>
      </c>
      <c r="G448" s="4" t="n">
        <v>9.9</v>
      </c>
      <c r="H448" s="4"/>
      <c r="I448" s="4" t="n">
        <v>45</v>
      </c>
      <c r="J448" s="4" t="n">
        <v>32.8</v>
      </c>
      <c r="K448" s="4" t="n">
        <v>32.2</v>
      </c>
      <c r="L448" s="4" t="n">
        <f aca="false">IF(COUNT(I448:K448)=0,"",SUM(I448:K448))</f>
        <v>110</v>
      </c>
    </row>
    <row r="449" customFormat="false" ht="15" hidden="false" customHeight="false" outlineLevel="0" collapsed="false">
      <c r="A449" s="2" t="n">
        <v>448</v>
      </c>
      <c r="B449" s="8" t="s">
        <v>475</v>
      </c>
      <c r="C449" s="2" t="s">
        <v>477</v>
      </c>
      <c r="D449" s="2" t="s">
        <v>14</v>
      </c>
      <c r="E449" s="3" t="n">
        <v>42</v>
      </c>
      <c r="F449" s="4" t="n">
        <v>28.2</v>
      </c>
      <c r="G449" s="4" t="n">
        <v>16.6</v>
      </c>
      <c r="H449" s="4"/>
      <c r="I449" s="4" t="n">
        <v>76.1</v>
      </c>
      <c r="J449" s="4" t="n">
        <v>54.9</v>
      </c>
      <c r="K449" s="4" t="n">
        <v>53.8</v>
      </c>
      <c r="L449" s="4" t="n">
        <f aca="false">IF(COUNT(I449:K449)=0,"",SUM(I449:K449))</f>
        <v>184.8</v>
      </c>
    </row>
    <row r="450" customFormat="false" ht="15" hidden="false" customHeight="false" outlineLevel="0" collapsed="false">
      <c r="A450" s="2" t="n">
        <v>449</v>
      </c>
      <c r="B450" s="8" t="s">
        <v>475</v>
      </c>
      <c r="C450" s="2" t="s">
        <v>478</v>
      </c>
      <c r="D450" s="2" t="s">
        <v>14</v>
      </c>
      <c r="E450" s="3"/>
      <c r="F450" s="4" t="n">
        <v>268.3</v>
      </c>
      <c r="G450" s="4" t="n">
        <v>0.3</v>
      </c>
      <c r="H450" s="4"/>
      <c r="I450" s="4" t="n">
        <v>1.4</v>
      </c>
      <c r="J450" s="4" t="n">
        <v>1</v>
      </c>
      <c r="K450" s="4" t="n">
        <v>1</v>
      </c>
      <c r="L450" s="4" t="n">
        <f aca="false">IF(COUNT(I450:K450)=0,"",SUM(I450:K450))</f>
        <v>3.4</v>
      </c>
    </row>
    <row r="451" customFormat="false" ht="15" hidden="false" customHeight="false" outlineLevel="0" collapsed="false">
      <c r="A451" s="2" t="n">
        <v>450</v>
      </c>
      <c r="B451" s="8" t="s">
        <v>475</v>
      </c>
      <c r="C451" s="2" t="s">
        <v>479</v>
      </c>
      <c r="D451" s="2" t="s">
        <v>14</v>
      </c>
      <c r="E451" s="3"/>
      <c r="F451" s="4" t="n">
        <v>0.9</v>
      </c>
      <c r="G451" s="4" t="n">
        <v>29.2</v>
      </c>
      <c r="H451" s="4"/>
      <c r="I451" s="4" t="n">
        <v>133.5</v>
      </c>
      <c r="J451" s="4" t="n">
        <v>96.4</v>
      </c>
      <c r="K451" s="4" t="n">
        <v>94.4</v>
      </c>
      <c r="L451" s="4" t="n">
        <f aca="false">IF(COUNT(I451:K451)=0,"",SUM(I451:K451))</f>
        <v>324.3</v>
      </c>
    </row>
    <row r="452" customFormat="false" ht="15" hidden="false" customHeight="false" outlineLevel="0" collapsed="false">
      <c r="A452" s="2" t="n">
        <v>451</v>
      </c>
      <c r="B452" s="8" t="s">
        <v>475</v>
      </c>
      <c r="C452" s="2" t="s">
        <v>480</v>
      </c>
      <c r="D452" s="2" t="s">
        <v>14</v>
      </c>
      <c r="E452" s="3" t="n">
        <v>1209</v>
      </c>
      <c r="F452" s="4" t="n">
        <v>1197.8</v>
      </c>
      <c r="G452" s="4" t="n">
        <v>7.1</v>
      </c>
      <c r="H452" s="4"/>
      <c r="I452" s="4" t="n">
        <v>32.2</v>
      </c>
      <c r="J452" s="4" t="n">
        <v>23.4</v>
      </c>
      <c r="K452" s="4" t="n">
        <v>23</v>
      </c>
      <c r="L452" s="4" t="n">
        <f aca="false">IF(COUNT(I452:K452)=0,"",SUM(I452:K452))</f>
        <v>78.6</v>
      </c>
    </row>
    <row r="453" customFormat="false" ht="15" hidden="false" customHeight="false" outlineLevel="0" collapsed="false">
      <c r="A453" s="2" t="n">
        <v>452</v>
      </c>
      <c r="B453" s="8" t="s">
        <v>475</v>
      </c>
      <c r="C453" s="8" t="s">
        <v>481</v>
      </c>
      <c r="D453" s="2" t="s">
        <v>14</v>
      </c>
      <c r="E453" s="3" t="n">
        <v>400</v>
      </c>
      <c r="F453" s="4" t="n">
        <v>218.5</v>
      </c>
      <c r="G453" s="4" t="n">
        <v>90.9</v>
      </c>
      <c r="H453" s="4"/>
      <c r="I453" s="4" t="n">
        <v>416.2</v>
      </c>
      <c r="J453" s="4" t="n">
        <v>300.5</v>
      </c>
      <c r="K453" s="4" t="n">
        <v>294.5</v>
      </c>
      <c r="L453" s="4" t="n">
        <f aca="false">IF(COUNT(I453:K453)=0,"",SUM(I453:K453))</f>
        <v>1011.2</v>
      </c>
    </row>
    <row r="454" customFormat="false" ht="15" hidden="false" customHeight="false" outlineLevel="0" collapsed="false">
      <c r="A454" s="2" t="n">
        <v>453</v>
      </c>
      <c r="B454" s="8" t="s">
        <v>475</v>
      </c>
      <c r="C454" s="8" t="s">
        <v>482</v>
      </c>
      <c r="D454" s="2" t="s">
        <v>14</v>
      </c>
      <c r="E454" s="3" t="n">
        <v>185</v>
      </c>
      <c r="F454" s="4" t="n">
        <v>303.8</v>
      </c>
      <c r="G454" s="4" t="n">
        <v>7.1</v>
      </c>
      <c r="H454" s="4"/>
      <c r="I454" s="4" t="n">
        <v>32.2</v>
      </c>
      <c r="J454" s="4" t="n">
        <v>23.4</v>
      </c>
      <c r="K454" s="4" t="n">
        <v>23</v>
      </c>
      <c r="L454" s="4" t="n">
        <f aca="false">IF(COUNT(I454:K454)=0,"",SUM(I454:K454))</f>
        <v>78.6</v>
      </c>
    </row>
    <row r="455" customFormat="false" ht="15" hidden="false" customHeight="false" outlineLevel="0" collapsed="false">
      <c r="A455" s="2" t="n">
        <v>454</v>
      </c>
      <c r="B455" s="2" t="s">
        <v>483</v>
      </c>
      <c r="C455" s="2" t="s">
        <v>484</v>
      </c>
      <c r="D455" s="2" t="s">
        <v>14</v>
      </c>
      <c r="E455" s="3"/>
      <c r="F455" s="4" t="n">
        <v>0</v>
      </c>
      <c r="G455" s="4" t="n">
        <v>0</v>
      </c>
      <c r="H455" s="4"/>
      <c r="I455" s="4" t="n">
        <v>0</v>
      </c>
      <c r="J455" s="4" t="n">
        <v>0</v>
      </c>
      <c r="K455" s="4" t="n">
        <v>0</v>
      </c>
      <c r="L455" s="4" t="n">
        <f aca="false">IF(COUNT(I455:K455)=0,"",SUM(I455:K455))</f>
        <v>0</v>
      </c>
    </row>
    <row r="456" customFormat="false" ht="15" hidden="false" customHeight="false" outlineLevel="0" collapsed="false">
      <c r="A456" s="2" t="n">
        <v>455</v>
      </c>
      <c r="B456" s="2" t="s">
        <v>483</v>
      </c>
      <c r="C456" s="2" t="s">
        <v>485</v>
      </c>
      <c r="D456" s="2" t="s">
        <v>14</v>
      </c>
      <c r="E456" s="3" t="n">
        <v>1</v>
      </c>
      <c r="F456" s="4" t="n">
        <v>602.7</v>
      </c>
      <c r="G456" s="4" t="n">
        <v>65.3</v>
      </c>
      <c r="H456" s="4"/>
      <c r="I456" s="4" t="n">
        <v>370</v>
      </c>
      <c r="J456" s="4" t="n">
        <v>40</v>
      </c>
      <c r="K456" s="4" t="n">
        <v>10</v>
      </c>
      <c r="L456" s="4" t="n">
        <f aca="false">IF(COUNT(I456:K456)=0,"",SUM(I456:K456))</f>
        <v>420</v>
      </c>
    </row>
    <row r="457" customFormat="false" ht="15" hidden="false" customHeight="false" outlineLevel="0" collapsed="false">
      <c r="A457" s="2" t="n">
        <v>456</v>
      </c>
      <c r="B457" s="2" t="s">
        <v>483</v>
      </c>
      <c r="C457" s="2" t="s">
        <v>486</v>
      </c>
      <c r="D457" s="2" t="s">
        <v>14</v>
      </c>
      <c r="E457" s="3"/>
      <c r="F457" s="4" t="n">
        <v>0</v>
      </c>
      <c r="G457" s="4" t="n">
        <v>0</v>
      </c>
      <c r="H457" s="4"/>
      <c r="I457" s="4" t="n">
        <v>0</v>
      </c>
      <c r="J457" s="4" t="n">
        <v>0</v>
      </c>
      <c r="K457" s="4" t="n">
        <v>0</v>
      </c>
      <c r="L457" s="4" t="n">
        <f aca="false">IF(COUNT(I457:K457)=0,"",SUM(I457:K457))</f>
        <v>0</v>
      </c>
    </row>
    <row r="458" customFormat="false" ht="15" hidden="false" customHeight="false" outlineLevel="0" collapsed="false">
      <c r="A458" s="2" t="n">
        <v>457</v>
      </c>
      <c r="B458" s="2" t="s">
        <v>483</v>
      </c>
      <c r="C458" s="2" t="s">
        <v>487</v>
      </c>
      <c r="D458" s="2" t="s">
        <v>14</v>
      </c>
      <c r="E458" s="3"/>
      <c r="F458" s="4" t="n">
        <v>-30.3</v>
      </c>
      <c r="G458" s="4" t="n">
        <v>71.9</v>
      </c>
      <c r="H458" s="4"/>
      <c r="I458" s="4" t="n">
        <v>330</v>
      </c>
      <c r="J458" s="4" t="n">
        <v>380</v>
      </c>
      <c r="K458" s="4" t="n">
        <v>110</v>
      </c>
      <c r="L458" s="4" t="n">
        <f aca="false">IF(COUNT(I458:K458)=0,"",SUM(I458:K458))</f>
        <v>820</v>
      </c>
    </row>
    <row r="459" customFormat="false" ht="15" hidden="false" customHeight="false" outlineLevel="0" collapsed="false">
      <c r="A459" s="2" t="n">
        <v>458</v>
      </c>
      <c r="B459" s="2" t="s">
        <v>483</v>
      </c>
      <c r="C459" s="2" t="s">
        <v>488</v>
      </c>
      <c r="D459" s="2" t="s">
        <v>14</v>
      </c>
      <c r="E459" s="3"/>
      <c r="F459" s="4" t="n">
        <v>88.4</v>
      </c>
      <c r="G459" s="4" t="n">
        <v>85.5</v>
      </c>
      <c r="H459" s="4"/>
      <c r="I459" s="4" t="n">
        <v>405</v>
      </c>
      <c r="J459" s="4" t="n">
        <v>188</v>
      </c>
      <c r="K459" s="4" t="n">
        <v>108</v>
      </c>
      <c r="L459" s="4" t="n">
        <f aca="false">IF(COUNT(I459:K459)=0,"",SUM(I459:K459))</f>
        <v>701</v>
      </c>
    </row>
    <row r="460" customFormat="false" ht="15" hidden="false" customHeight="false" outlineLevel="0" collapsed="false">
      <c r="A460" s="2" t="n">
        <v>459</v>
      </c>
      <c r="B460" s="2" t="s">
        <v>483</v>
      </c>
      <c r="C460" s="2" t="s">
        <v>489</v>
      </c>
      <c r="D460" s="2" t="s">
        <v>14</v>
      </c>
      <c r="E460" s="3"/>
      <c r="F460" s="4" t="n">
        <v>294.7</v>
      </c>
      <c r="G460" s="4" t="n">
        <v>16.2</v>
      </c>
      <c r="H460" s="4"/>
      <c r="I460" s="4" t="n">
        <v>85</v>
      </c>
      <c r="J460" s="4" t="n">
        <v>63</v>
      </c>
      <c r="K460" s="4" t="n">
        <v>80</v>
      </c>
      <c r="L460" s="4" t="n">
        <f aca="false">IF(COUNT(I460:K460)=0,"",SUM(I460:K460))</f>
        <v>228</v>
      </c>
    </row>
    <row r="461" customFormat="false" ht="15" hidden="false" customHeight="false" outlineLevel="0" collapsed="false">
      <c r="A461" s="2" t="n">
        <v>460</v>
      </c>
      <c r="B461" s="2" t="s">
        <v>483</v>
      </c>
      <c r="C461" s="2" t="s">
        <v>490</v>
      </c>
      <c r="D461" s="2" t="s">
        <v>14</v>
      </c>
      <c r="E461" s="3"/>
      <c r="F461" s="4" t="n">
        <v>0</v>
      </c>
      <c r="G461" s="4" t="n">
        <v>0</v>
      </c>
      <c r="H461" s="4"/>
      <c r="I461" s="4" t="n">
        <v>0</v>
      </c>
      <c r="J461" s="4" t="n">
        <v>0</v>
      </c>
      <c r="K461" s="4" t="n">
        <v>0</v>
      </c>
      <c r="L461" s="4" t="n">
        <f aca="false">IF(COUNT(I461:K461)=0,"",SUM(I461:K461))</f>
        <v>0</v>
      </c>
    </row>
    <row r="462" customFormat="false" ht="15" hidden="false" customHeight="false" outlineLevel="0" collapsed="false">
      <c r="A462" s="2" t="n">
        <v>461</v>
      </c>
      <c r="B462" s="2" t="s">
        <v>483</v>
      </c>
      <c r="C462" s="2" t="s">
        <v>491</v>
      </c>
      <c r="D462" s="2" t="s">
        <v>14</v>
      </c>
      <c r="E462" s="3"/>
      <c r="F462" s="4" t="n">
        <v>7</v>
      </c>
      <c r="G462" s="4" t="n">
        <v>0</v>
      </c>
      <c r="H462" s="4"/>
      <c r="I462" s="4" t="n">
        <v>0</v>
      </c>
      <c r="J462" s="4" t="n">
        <v>0</v>
      </c>
      <c r="K462" s="4" t="n">
        <v>0</v>
      </c>
      <c r="L462" s="4" t="n">
        <f aca="false">IF(COUNT(I462:K462)=0,"",SUM(I462:K462))</f>
        <v>0</v>
      </c>
    </row>
    <row r="463" customFormat="false" ht="15" hidden="false" customHeight="false" outlineLevel="0" collapsed="false">
      <c r="A463" s="2" t="n">
        <v>462</v>
      </c>
      <c r="B463" s="2" t="s">
        <v>483</v>
      </c>
      <c r="C463" s="2" t="s">
        <v>492</v>
      </c>
      <c r="D463" s="2" t="s">
        <v>14</v>
      </c>
      <c r="E463" s="3"/>
      <c r="F463" s="4" t="n">
        <v>174.3</v>
      </c>
      <c r="G463" s="4" t="n">
        <v>5.2</v>
      </c>
      <c r="H463" s="4"/>
      <c r="I463" s="4" t="n">
        <v>24</v>
      </c>
      <c r="J463" s="4" t="n">
        <v>22</v>
      </c>
      <c r="K463" s="4" t="n">
        <v>21</v>
      </c>
      <c r="L463" s="4" t="n">
        <f aca="false">IF(COUNT(I463:K463)=0,"",SUM(I463:K463))</f>
        <v>67</v>
      </c>
    </row>
    <row r="464" customFormat="false" ht="15" hidden="false" customHeight="false" outlineLevel="0" collapsed="false">
      <c r="A464" s="2" t="n">
        <v>463</v>
      </c>
      <c r="B464" s="2" t="s">
        <v>483</v>
      </c>
      <c r="C464" s="2" t="s">
        <v>493</v>
      </c>
      <c r="D464" s="2" t="s">
        <v>14</v>
      </c>
      <c r="E464" s="3"/>
      <c r="F464" s="4" t="n">
        <v>6</v>
      </c>
      <c r="G464" s="4" t="n">
        <v>0</v>
      </c>
      <c r="H464" s="4"/>
      <c r="I464" s="4" t="n">
        <v>0</v>
      </c>
      <c r="J464" s="4" t="n">
        <v>0</v>
      </c>
      <c r="K464" s="4" t="n">
        <v>0</v>
      </c>
      <c r="L464" s="4" t="n">
        <f aca="false">IF(COUNT(I464:K464)=0,"",SUM(I464:K464))</f>
        <v>0</v>
      </c>
    </row>
    <row r="465" customFormat="false" ht="15" hidden="false" customHeight="false" outlineLevel="0" collapsed="false">
      <c r="A465" s="2" t="n">
        <v>464</v>
      </c>
      <c r="B465" s="2" t="s">
        <v>483</v>
      </c>
      <c r="C465" s="2" t="s">
        <v>494</v>
      </c>
      <c r="D465" s="2" t="s">
        <v>14</v>
      </c>
      <c r="E465" s="3"/>
      <c r="F465" s="4" t="n">
        <v>0</v>
      </c>
      <c r="G465" s="4" t="n">
        <v>0</v>
      </c>
      <c r="H465" s="4"/>
      <c r="I465" s="4" t="n">
        <v>0</v>
      </c>
      <c r="J465" s="4" t="n">
        <v>0</v>
      </c>
      <c r="K465" s="4" t="n">
        <v>0</v>
      </c>
      <c r="L465" s="4" t="n">
        <f aca="false">IF(COUNT(I465:K465)=0,"",SUM(I465:K465))</f>
        <v>0</v>
      </c>
    </row>
    <row r="466" customFormat="false" ht="15" hidden="false" customHeight="false" outlineLevel="0" collapsed="false">
      <c r="A466" s="2" t="n">
        <v>465</v>
      </c>
      <c r="B466" s="2" t="s">
        <v>483</v>
      </c>
      <c r="C466" s="2" t="s">
        <v>495</v>
      </c>
      <c r="D466" s="2" t="s">
        <v>14</v>
      </c>
      <c r="E466" s="3"/>
      <c r="F466" s="4" t="n">
        <v>0</v>
      </c>
      <c r="G466" s="4" t="n">
        <v>0</v>
      </c>
      <c r="H466" s="4"/>
      <c r="I466" s="4" t="n">
        <v>0</v>
      </c>
      <c r="J466" s="4" t="n">
        <v>0</v>
      </c>
      <c r="K466" s="4" t="n">
        <v>0</v>
      </c>
      <c r="L466" s="4" t="n">
        <f aca="false">IF(COUNT(I466:K466)=0,"",SUM(I466:K466))</f>
        <v>0</v>
      </c>
    </row>
    <row r="467" customFormat="false" ht="15" hidden="false" customHeight="false" outlineLevel="0" collapsed="false">
      <c r="A467" s="2" t="n">
        <v>466</v>
      </c>
      <c r="B467" s="2" t="s">
        <v>483</v>
      </c>
      <c r="C467" s="2" t="s">
        <v>496</v>
      </c>
      <c r="D467" s="2" t="s">
        <v>14</v>
      </c>
      <c r="E467" s="3"/>
      <c r="F467" s="4" t="n">
        <v>0</v>
      </c>
      <c r="G467" s="4" t="n">
        <v>0</v>
      </c>
      <c r="H467" s="4"/>
      <c r="I467" s="4" t="n">
        <v>0</v>
      </c>
      <c r="J467" s="4" t="n">
        <v>0</v>
      </c>
      <c r="K467" s="4" t="n">
        <v>0</v>
      </c>
      <c r="L467" s="4" t="n">
        <f aca="false">IF(COUNT(I467:K467)=0,"",SUM(I467:K467))</f>
        <v>0</v>
      </c>
    </row>
    <row r="468" customFormat="false" ht="15" hidden="false" customHeight="false" outlineLevel="0" collapsed="false">
      <c r="A468" s="2" t="n">
        <v>467</v>
      </c>
      <c r="B468" s="2" t="s">
        <v>483</v>
      </c>
      <c r="C468" s="2" t="s">
        <v>497</v>
      </c>
      <c r="D468" s="2" t="s">
        <v>14</v>
      </c>
      <c r="E468" s="3"/>
      <c r="F468" s="4" t="n">
        <v>0</v>
      </c>
      <c r="G468" s="4" t="n">
        <v>0</v>
      </c>
      <c r="H468" s="4"/>
      <c r="I468" s="4" t="n">
        <v>0</v>
      </c>
      <c r="J468" s="4" t="n">
        <v>0</v>
      </c>
      <c r="K468" s="4" t="n">
        <v>0</v>
      </c>
      <c r="L468" s="4" t="n">
        <f aca="false">IF(COUNT(I468:K468)=0,"",SUM(I468:K468))</f>
        <v>0</v>
      </c>
    </row>
    <row r="469" customFormat="false" ht="15" hidden="false" customHeight="false" outlineLevel="0" collapsed="false">
      <c r="A469" s="2" t="n">
        <v>468</v>
      </c>
      <c r="B469" s="2" t="s">
        <v>483</v>
      </c>
      <c r="C469" s="2" t="s">
        <v>498</v>
      </c>
      <c r="D469" s="2" t="s">
        <v>14</v>
      </c>
      <c r="E469" s="3"/>
      <c r="F469" s="4" t="n">
        <v>0</v>
      </c>
      <c r="G469" s="4" t="n">
        <v>0</v>
      </c>
      <c r="H469" s="4"/>
      <c r="I469" s="4" t="n">
        <v>0</v>
      </c>
      <c r="J469" s="4" t="n">
        <v>0</v>
      </c>
      <c r="K469" s="4" t="n">
        <v>0</v>
      </c>
      <c r="L469" s="4" t="n">
        <f aca="false">IF(COUNT(I469:K469)=0,"",SUM(I469:K469))</f>
        <v>0</v>
      </c>
    </row>
    <row r="470" customFormat="false" ht="15" hidden="false" customHeight="false" outlineLevel="0" collapsed="false">
      <c r="A470" s="2" t="n">
        <v>469</v>
      </c>
      <c r="B470" s="2" t="s">
        <v>483</v>
      </c>
      <c r="C470" s="2" t="s">
        <v>499</v>
      </c>
      <c r="D470" s="2" t="s">
        <v>14</v>
      </c>
      <c r="E470" s="3"/>
      <c r="F470" s="4" t="n">
        <v>0</v>
      </c>
      <c r="G470" s="4" t="n">
        <v>0</v>
      </c>
      <c r="H470" s="4"/>
      <c r="I470" s="4" t="n">
        <v>0</v>
      </c>
      <c r="J470" s="4" t="n">
        <v>0</v>
      </c>
      <c r="K470" s="4" t="n">
        <v>0</v>
      </c>
      <c r="L470" s="4" t="n">
        <f aca="false">IF(COUNT(I470:K470)=0,"",SUM(I470:K470))</f>
        <v>0</v>
      </c>
    </row>
    <row r="471" customFormat="false" ht="15" hidden="false" customHeight="false" outlineLevel="0" collapsed="false">
      <c r="A471" s="2" t="n">
        <v>470</v>
      </c>
      <c r="B471" s="2" t="s">
        <v>483</v>
      </c>
      <c r="C471" s="2" t="s">
        <v>500</v>
      </c>
      <c r="D471" s="2" t="s">
        <v>14</v>
      </c>
      <c r="E471" s="3"/>
      <c r="F471" s="4" t="n">
        <v>1300.3</v>
      </c>
      <c r="G471" s="4" t="n">
        <v>53.6</v>
      </c>
      <c r="H471" s="4"/>
      <c r="I471" s="4" t="n">
        <v>200</v>
      </c>
      <c r="J471" s="4" t="n">
        <v>159</v>
      </c>
      <c r="K471" s="4" t="n">
        <v>200</v>
      </c>
      <c r="L471" s="4" t="n">
        <f aca="false">IF(COUNT(I471:K471)=0,"",SUM(I471:K471))</f>
        <v>559</v>
      </c>
    </row>
    <row r="472" customFormat="false" ht="15" hidden="false" customHeight="false" outlineLevel="0" collapsed="false">
      <c r="A472" s="2" t="n">
        <v>471</v>
      </c>
      <c r="B472" s="2" t="s">
        <v>483</v>
      </c>
      <c r="C472" s="2" t="s">
        <v>501</v>
      </c>
      <c r="D472" s="2" t="s">
        <v>14</v>
      </c>
      <c r="E472" s="3"/>
      <c r="F472" s="4" t="n">
        <v>221</v>
      </c>
      <c r="G472" s="4" t="n">
        <v>18</v>
      </c>
      <c r="H472" s="4"/>
      <c r="I472" s="4" t="n">
        <v>0</v>
      </c>
      <c r="J472" s="4" t="n">
        <v>0</v>
      </c>
      <c r="K472" s="4" t="n">
        <v>0</v>
      </c>
      <c r="L472" s="4" t="n">
        <f aca="false">IF(COUNT(I472:K472)=0,"",SUM(I472:K472))</f>
        <v>0</v>
      </c>
    </row>
    <row r="473" customFormat="false" ht="15" hidden="false" customHeight="false" outlineLevel="0" collapsed="false">
      <c r="A473" s="2" t="n">
        <v>472</v>
      </c>
      <c r="B473" s="2" t="s">
        <v>483</v>
      </c>
      <c r="C473" s="2" t="s">
        <v>502</v>
      </c>
      <c r="D473" s="2" t="s">
        <v>14</v>
      </c>
      <c r="E473" s="3"/>
      <c r="F473" s="4" t="n">
        <v>1</v>
      </c>
      <c r="G473" s="4" t="n">
        <v>0</v>
      </c>
      <c r="H473" s="4"/>
      <c r="I473" s="4" t="n">
        <v>0</v>
      </c>
      <c r="J473" s="4" t="n">
        <v>0</v>
      </c>
      <c r="K473" s="4" t="n">
        <v>0</v>
      </c>
      <c r="L473" s="4" t="n">
        <f aca="false">IF(COUNT(I473:K473)=0,"",SUM(I473:K473))</f>
        <v>0</v>
      </c>
    </row>
    <row r="474" customFormat="false" ht="15" hidden="false" customHeight="false" outlineLevel="0" collapsed="false">
      <c r="A474" s="2" t="n">
        <v>473</v>
      </c>
      <c r="B474" s="2" t="s">
        <v>483</v>
      </c>
      <c r="C474" s="2" t="s">
        <v>503</v>
      </c>
      <c r="D474" s="2" t="s">
        <v>14</v>
      </c>
      <c r="E474" s="3"/>
      <c r="F474" s="4" t="n">
        <v>276.3</v>
      </c>
      <c r="G474" s="4" t="n">
        <v>28.7</v>
      </c>
      <c r="H474" s="4"/>
      <c r="I474" s="4" t="n">
        <v>120</v>
      </c>
      <c r="J474" s="4" t="n">
        <v>124</v>
      </c>
      <c r="K474" s="4" t="n">
        <v>10</v>
      </c>
      <c r="L474" s="4" t="n">
        <f aca="false">IF(COUNT(I474:K474)=0,"",SUM(I474:K474))</f>
        <v>254</v>
      </c>
    </row>
    <row r="475" customFormat="false" ht="15" hidden="false" customHeight="false" outlineLevel="0" collapsed="false">
      <c r="A475" s="2" t="n">
        <v>474</v>
      </c>
      <c r="B475" s="2" t="s">
        <v>483</v>
      </c>
      <c r="C475" s="2" t="s">
        <v>504</v>
      </c>
      <c r="D475" s="2" t="s">
        <v>14</v>
      </c>
      <c r="E475" s="3"/>
      <c r="F475" s="4" t="n">
        <v>11</v>
      </c>
      <c r="G475" s="4" t="n">
        <v>0</v>
      </c>
      <c r="H475" s="4"/>
      <c r="I475" s="4" t="n">
        <v>0</v>
      </c>
      <c r="J475" s="4" t="n">
        <v>0</v>
      </c>
      <c r="K475" s="4" t="n">
        <v>0</v>
      </c>
      <c r="L475" s="4" t="n">
        <f aca="false">IF(COUNT(I475:K475)=0,"",SUM(I475:K475))</f>
        <v>0</v>
      </c>
    </row>
    <row r="476" customFormat="false" ht="15" hidden="false" customHeight="false" outlineLevel="0" collapsed="false">
      <c r="A476" s="2" t="n">
        <v>475</v>
      </c>
      <c r="B476" s="2" t="s">
        <v>483</v>
      </c>
      <c r="C476" s="2" t="s">
        <v>505</v>
      </c>
      <c r="D476" s="2" t="s">
        <v>14</v>
      </c>
      <c r="E476" s="3"/>
      <c r="F476" s="4" t="n">
        <v>184.4</v>
      </c>
      <c r="G476" s="4" t="n">
        <v>13</v>
      </c>
      <c r="H476" s="4"/>
      <c r="I476" s="4" t="n">
        <v>61</v>
      </c>
      <c r="J476" s="4" t="n">
        <v>52</v>
      </c>
      <c r="K476" s="4" t="n">
        <v>0</v>
      </c>
      <c r="L476" s="4" t="n">
        <f aca="false">IF(COUNT(I476:K476)=0,"",SUM(I476:K476))</f>
        <v>113</v>
      </c>
    </row>
    <row r="477" customFormat="false" ht="15" hidden="false" customHeight="false" outlineLevel="0" collapsed="false">
      <c r="A477" s="2" t="n">
        <v>476</v>
      </c>
      <c r="B477" s="2" t="s">
        <v>483</v>
      </c>
      <c r="C477" s="2" t="s">
        <v>506</v>
      </c>
      <c r="D477" s="2" t="s">
        <v>14</v>
      </c>
      <c r="E477" s="3"/>
      <c r="F477" s="4" t="n">
        <v>5</v>
      </c>
      <c r="G477" s="4" t="n">
        <v>0</v>
      </c>
      <c r="H477" s="4"/>
      <c r="I477" s="4" t="n">
        <v>0</v>
      </c>
      <c r="J477" s="4" t="n">
        <v>0</v>
      </c>
      <c r="K477" s="4" t="n">
        <v>0</v>
      </c>
      <c r="L477" s="4" t="n">
        <f aca="false">IF(COUNT(I477:K477)=0,"",SUM(I477:K477))</f>
        <v>0</v>
      </c>
    </row>
    <row r="478" customFormat="false" ht="15" hidden="false" customHeight="false" outlineLevel="0" collapsed="false">
      <c r="A478" s="2" t="n">
        <v>477</v>
      </c>
      <c r="B478" s="2" t="s">
        <v>483</v>
      </c>
      <c r="C478" s="2" t="s">
        <v>507</v>
      </c>
      <c r="D478" s="2" t="s">
        <v>14</v>
      </c>
      <c r="E478" s="3"/>
      <c r="F478" s="4" t="n">
        <v>626</v>
      </c>
      <c r="G478" s="4" t="n">
        <v>65.9</v>
      </c>
      <c r="H478" s="4"/>
      <c r="I478" s="4" t="n">
        <v>390</v>
      </c>
      <c r="J478" s="4" t="n">
        <v>40</v>
      </c>
      <c r="K478" s="4" t="n">
        <v>40</v>
      </c>
      <c r="L478" s="4" t="n">
        <f aca="false">IF(COUNT(I478:K478)=0,"",SUM(I478:K478))</f>
        <v>470</v>
      </c>
    </row>
    <row r="479" customFormat="false" ht="15" hidden="false" customHeight="false" outlineLevel="0" collapsed="false">
      <c r="A479" s="2" t="n">
        <v>478</v>
      </c>
      <c r="B479" s="2" t="s">
        <v>483</v>
      </c>
      <c r="C479" s="2" t="s">
        <v>508</v>
      </c>
      <c r="D479" s="2" t="s">
        <v>14</v>
      </c>
      <c r="E479" s="3"/>
      <c r="F479" s="4" t="n">
        <v>48.7</v>
      </c>
      <c r="G479" s="4" t="n">
        <v>3.5</v>
      </c>
      <c r="H479" s="4"/>
      <c r="I479" s="4" t="n">
        <v>0</v>
      </c>
      <c r="J479" s="4" t="n">
        <v>0</v>
      </c>
      <c r="K479" s="4" t="n">
        <v>0</v>
      </c>
      <c r="L479" s="4" t="n">
        <f aca="false">IF(COUNT(I479:K479)=0,"",SUM(I479:K479))</f>
        <v>0</v>
      </c>
    </row>
    <row r="480" customFormat="false" ht="15" hidden="false" customHeight="false" outlineLevel="0" collapsed="false">
      <c r="A480" s="2" t="n">
        <v>479</v>
      </c>
      <c r="B480" s="2" t="s">
        <v>483</v>
      </c>
      <c r="C480" s="2" t="s">
        <v>509</v>
      </c>
      <c r="D480" s="2" t="s">
        <v>14</v>
      </c>
      <c r="E480" s="3"/>
      <c r="F480" s="4" t="n">
        <v>669.4</v>
      </c>
      <c r="G480" s="4" t="n">
        <v>58.6</v>
      </c>
      <c r="H480" s="4"/>
      <c r="I480" s="4" t="n">
        <v>263</v>
      </c>
      <c r="J480" s="4" t="n">
        <v>170</v>
      </c>
      <c r="K480" s="4" t="n">
        <v>0</v>
      </c>
      <c r="L480" s="4" t="n">
        <f aca="false">IF(COUNT(I480:K480)=0,"",SUM(I480:K480))</f>
        <v>433</v>
      </c>
    </row>
    <row r="481" customFormat="false" ht="15" hidden="false" customHeight="false" outlineLevel="0" collapsed="false">
      <c r="A481" s="2" t="n">
        <v>480</v>
      </c>
      <c r="B481" s="2" t="s">
        <v>483</v>
      </c>
      <c r="C481" s="2" t="s">
        <v>510</v>
      </c>
      <c r="D481" s="2" t="s">
        <v>14</v>
      </c>
      <c r="E481" s="3"/>
      <c r="F481" s="4" t="n">
        <v>413</v>
      </c>
      <c r="G481" s="4" t="n">
        <v>21.7</v>
      </c>
      <c r="H481" s="4"/>
      <c r="I481" s="4" t="n">
        <v>110</v>
      </c>
      <c r="J481" s="4" t="n">
        <v>100</v>
      </c>
      <c r="K481" s="4" t="n">
        <v>100</v>
      </c>
      <c r="L481" s="4" t="n">
        <f aca="false">IF(COUNT(I481:K481)=0,"",SUM(I481:K481))</f>
        <v>310</v>
      </c>
    </row>
    <row r="482" customFormat="false" ht="15" hidden="false" customHeight="false" outlineLevel="0" collapsed="false">
      <c r="A482" s="2" t="n">
        <v>481</v>
      </c>
      <c r="B482" s="2" t="s">
        <v>483</v>
      </c>
      <c r="C482" s="2" t="s">
        <v>511</v>
      </c>
      <c r="D482" s="2" t="s">
        <v>14</v>
      </c>
      <c r="E482" s="3"/>
      <c r="F482" s="4" t="n">
        <v>583.9</v>
      </c>
      <c r="G482" s="4" t="n">
        <v>78.6</v>
      </c>
      <c r="H482" s="4"/>
      <c r="I482" s="4" t="n">
        <v>219</v>
      </c>
      <c r="J482" s="4" t="n">
        <v>88</v>
      </c>
      <c r="K482" s="4" t="n">
        <v>0</v>
      </c>
      <c r="L482" s="4" t="n">
        <f aca="false">IF(COUNT(I482:K482)=0,"",SUM(I482:K482))</f>
        <v>307</v>
      </c>
    </row>
    <row r="483" customFormat="false" ht="15" hidden="false" customHeight="false" outlineLevel="0" collapsed="false">
      <c r="A483" s="2" t="n">
        <v>482</v>
      </c>
      <c r="B483" s="2" t="s">
        <v>483</v>
      </c>
      <c r="C483" s="2" t="s">
        <v>512</v>
      </c>
      <c r="D483" s="2" t="s">
        <v>14</v>
      </c>
      <c r="E483" s="3"/>
      <c r="F483" s="4" t="n">
        <v>1252.3</v>
      </c>
      <c r="G483" s="4" t="n">
        <v>68.5</v>
      </c>
      <c r="H483" s="4"/>
      <c r="I483" s="4" t="n">
        <v>280</v>
      </c>
      <c r="J483" s="4" t="n">
        <v>210</v>
      </c>
      <c r="K483" s="4" t="n">
        <v>210</v>
      </c>
      <c r="L483" s="4" t="n">
        <f aca="false">IF(COUNT(I483:K483)=0,"",SUM(I483:K483))</f>
        <v>700</v>
      </c>
    </row>
    <row r="484" customFormat="false" ht="15" hidden="false" customHeight="false" outlineLevel="0" collapsed="false">
      <c r="A484" s="2" t="n">
        <v>483</v>
      </c>
      <c r="B484" s="2" t="s">
        <v>483</v>
      </c>
      <c r="C484" s="2" t="s">
        <v>513</v>
      </c>
      <c r="D484" s="2" t="s">
        <v>14</v>
      </c>
      <c r="E484" s="3"/>
      <c r="F484" s="4" t="n">
        <v>840.7</v>
      </c>
      <c r="G484" s="4" t="n">
        <v>55.1</v>
      </c>
      <c r="H484" s="4"/>
      <c r="I484" s="4" t="n">
        <v>300</v>
      </c>
      <c r="J484" s="4" t="n">
        <v>300</v>
      </c>
      <c r="K484" s="4" t="n">
        <v>190</v>
      </c>
      <c r="L484" s="4" t="n">
        <f aca="false">IF(COUNT(I484:K484)=0,"",SUM(I484:K484))</f>
        <v>790</v>
      </c>
    </row>
    <row r="485" customFormat="false" ht="15" hidden="false" customHeight="false" outlineLevel="0" collapsed="false">
      <c r="A485" s="2" t="n">
        <v>484</v>
      </c>
      <c r="B485" s="2" t="s">
        <v>483</v>
      </c>
      <c r="C485" s="2" t="s">
        <v>514</v>
      </c>
      <c r="D485" s="2" t="s">
        <v>14</v>
      </c>
      <c r="E485" s="3"/>
      <c r="F485" s="4" t="n">
        <v>137</v>
      </c>
      <c r="G485" s="4" t="n">
        <v>12.9</v>
      </c>
      <c r="H485" s="4"/>
      <c r="I485" s="4" t="n">
        <v>80</v>
      </c>
      <c r="J485" s="4" t="n">
        <v>60</v>
      </c>
      <c r="K485" s="4" t="n">
        <v>0</v>
      </c>
      <c r="L485" s="4" t="n">
        <f aca="false">IF(COUNT(I485:K485)=0,"",SUM(I485:K485))</f>
        <v>140</v>
      </c>
    </row>
    <row r="486" customFormat="false" ht="15" hidden="false" customHeight="false" outlineLevel="0" collapsed="false">
      <c r="A486" s="2" t="n">
        <v>485</v>
      </c>
      <c r="B486" s="2" t="s">
        <v>483</v>
      </c>
      <c r="C486" s="2" t="s">
        <v>515</v>
      </c>
      <c r="D486" s="2" t="s">
        <v>14</v>
      </c>
      <c r="E486" s="3"/>
      <c r="F486" s="4" t="n">
        <v>639.8</v>
      </c>
      <c r="G486" s="4" t="n">
        <v>78.5</v>
      </c>
      <c r="H486" s="4"/>
      <c r="I486" s="4" t="n">
        <v>385</v>
      </c>
      <c r="J486" s="4" t="n">
        <v>58</v>
      </c>
      <c r="K486" s="4" t="n">
        <v>0</v>
      </c>
      <c r="L486" s="4" t="n">
        <f aca="false">IF(COUNT(I486:K486)=0,"",SUM(I486:K486))</f>
        <v>443</v>
      </c>
    </row>
    <row r="487" customFormat="false" ht="15" hidden="false" customHeight="false" outlineLevel="0" collapsed="false">
      <c r="A487" s="2" t="n">
        <v>486</v>
      </c>
      <c r="B487" s="2" t="s">
        <v>483</v>
      </c>
      <c r="C487" s="2" t="s">
        <v>516</v>
      </c>
      <c r="D487" s="2" t="s">
        <v>14</v>
      </c>
      <c r="E487" s="3"/>
      <c r="F487" s="4" t="n">
        <v>137.7</v>
      </c>
      <c r="G487" s="4" t="n">
        <v>10.7</v>
      </c>
      <c r="H487" s="4"/>
      <c r="I487" s="4" t="n">
        <v>50</v>
      </c>
      <c r="J487" s="4" t="n">
        <v>26</v>
      </c>
      <c r="K487" s="4" t="n">
        <v>26</v>
      </c>
      <c r="L487" s="4" t="n">
        <f aca="false">IF(COUNT(I487:K487)=0,"",SUM(I487:K487))</f>
        <v>102</v>
      </c>
    </row>
    <row r="488" customFormat="false" ht="15" hidden="false" customHeight="false" outlineLevel="0" collapsed="false">
      <c r="A488" s="2" t="n">
        <v>487</v>
      </c>
      <c r="B488" s="2" t="s">
        <v>483</v>
      </c>
      <c r="C488" s="2" t="s">
        <v>517</v>
      </c>
      <c r="D488" s="2" t="s">
        <v>14</v>
      </c>
      <c r="E488" s="3" t="n">
        <v>744</v>
      </c>
      <c r="F488" s="4" t="n">
        <v>717</v>
      </c>
      <c r="G488" s="4" t="n">
        <v>47.5</v>
      </c>
      <c r="H488" s="4"/>
      <c r="I488" s="4" t="n">
        <v>220</v>
      </c>
      <c r="J488" s="4" t="n">
        <v>147.1</v>
      </c>
      <c r="K488" s="4" t="n">
        <v>118.6</v>
      </c>
      <c r="L488" s="4" t="n">
        <f aca="false">IF(COUNT(I488:K488)=0,"",SUM(I488:K488))</f>
        <v>485.7</v>
      </c>
    </row>
    <row r="489" customFormat="false" ht="15" hidden="false" customHeight="false" outlineLevel="0" collapsed="false">
      <c r="A489" s="2" t="n">
        <v>488</v>
      </c>
      <c r="B489" s="2" t="s">
        <v>483</v>
      </c>
      <c r="C489" s="2" t="s">
        <v>518</v>
      </c>
      <c r="D489" s="2" t="s">
        <v>14</v>
      </c>
      <c r="E489" s="3" t="n">
        <v>73</v>
      </c>
      <c r="F489" s="4" t="n">
        <v>139.6</v>
      </c>
      <c r="G489" s="4" t="n">
        <v>17.4</v>
      </c>
      <c r="H489" s="4"/>
      <c r="I489" s="4" t="n">
        <v>78.1</v>
      </c>
      <c r="J489" s="4" t="n">
        <v>62.7</v>
      </c>
      <c r="K489" s="4" t="n">
        <v>20</v>
      </c>
      <c r="L489" s="4" t="n">
        <f aca="false">IF(COUNT(I489:K489)=0,"",SUM(I489:K489))</f>
        <v>160.8</v>
      </c>
    </row>
    <row r="490" customFormat="false" ht="15" hidden="false" customHeight="false" outlineLevel="0" collapsed="false">
      <c r="A490" s="2" t="n">
        <v>489</v>
      </c>
      <c r="B490" s="2" t="s">
        <v>483</v>
      </c>
      <c r="C490" s="2" t="s">
        <v>519</v>
      </c>
      <c r="D490" s="2" t="s">
        <v>14</v>
      </c>
      <c r="E490" s="3"/>
      <c r="F490" s="4" t="n">
        <v>285</v>
      </c>
      <c r="G490" s="4" t="n">
        <v>74.4</v>
      </c>
      <c r="H490" s="4"/>
      <c r="I490" s="4" t="n">
        <v>300</v>
      </c>
      <c r="J490" s="4" t="n">
        <v>100</v>
      </c>
      <c r="K490" s="4" t="n">
        <v>0</v>
      </c>
      <c r="L490" s="4" t="n">
        <f aca="false">IF(COUNT(I490:K490)=0,"",SUM(I490:K490))</f>
        <v>400</v>
      </c>
    </row>
    <row r="491" customFormat="false" ht="15" hidden="false" customHeight="false" outlineLevel="0" collapsed="false">
      <c r="A491" s="2" t="n">
        <v>490</v>
      </c>
      <c r="B491" s="2" t="s">
        <v>483</v>
      </c>
      <c r="C491" s="2" t="s">
        <v>520</v>
      </c>
      <c r="D491" s="2" t="s">
        <v>14</v>
      </c>
      <c r="E491" s="3" t="n">
        <v>552</v>
      </c>
      <c r="F491" s="4" t="n">
        <v>534.7</v>
      </c>
      <c r="G491" s="4" t="n">
        <v>40.5</v>
      </c>
      <c r="H491" s="4"/>
      <c r="I491" s="4" t="n">
        <v>198</v>
      </c>
      <c r="J491" s="4" t="n">
        <v>134.9</v>
      </c>
      <c r="K491" s="4" t="n">
        <v>137.3</v>
      </c>
      <c r="L491" s="4" t="n">
        <f aca="false">IF(COUNT(I491:K491)=0,"",SUM(I491:K491))</f>
        <v>470.2</v>
      </c>
    </row>
    <row r="492" customFormat="false" ht="15" hidden="false" customHeight="false" outlineLevel="0" collapsed="false">
      <c r="A492" s="2" t="n">
        <v>491</v>
      </c>
      <c r="B492" s="2" t="s">
        <v>483</v>
      </c>
      <c r="C492" s="2" t="s">
        <v>521</v>
      </c>
      <c r="D492" s="2" t="s">
        <v>14</v>
      </c>
      <c r="E492" s="3" t="n">
        <v>41</v>
      </c>
      <c r="F492" s="4" t="n">
        <v>10.7</v>
      </c>
      <c r="G492" s="4" t="n">
        <v>4.7</v>
      </c>
      <c r="H492" s="4"/>
      <c r="I492" s="4" t="n">
        <v>0</v>
      </c>
      <c r="J492" s="4" t="n">
        <v>21</v>
      </c>
      <c r="K492" s="4" t="n">
        <v>34</v>
      </c>
      <c r="L492" s="4" t="n">
        <f aca="false">IF(COUNT(I492:K492)=0,"",SUM(I492:K492))</f>
        <v>55</v>
      </c>
    </row>
    <row r="493" customFormat="false" ht="15" hidden="false" customHeight="false" outlineLevel="0" collapsed="false">
      <c r="A493" s="2" t="n">
        <v>492</v>
      </c>
      <c r="B493" s="2" t="s">
        <v>483</v>
      </c>
      <c r="C493" s="2" t="s">
        <v>522</v>
      </c>
      <c r="D493" s="2" t="s">
        <v>14</v>
      </c>
      <c r="E493" s="3"/>
      <c r="F493" s="4" t="n">
        <v>430.3</v>
      </c>
      <c r="G493" s="4" t="n">
        <v>8.4</v>
      </c>
      <c r="H493" s="4"/>
      <c r="I493" s="4" t="n">
        <v>50</v>
      </c>
      <c r="J493" s="4" t="n">
        <v>55</v>
      </c>
      <c r="K493" s="4" t="n">
        <v>58.7</v>
      </c>
      <c r="L493" s="4" t="n">
        <f aca="false">IF(COUNT(I493:K493)=0,"",SUM(I493:K493))</f>
        <v>163.7</v>
      </c>
    </row>
    <row r="494" customFormat="false" ht="15" hidden="false" customHeight="false" outlineLevel="0" collapsed="false">
      <c r="A494" s="2" t="n">
        <v>493</v>
      </c>
      <c r="B494" s="2" t="s">
        <v>483</v>
      </c>
      <c r="C494" s="2" t="s">
        <v>523</v>
      </c>
      <c r="D494" s="2" t="s">
        <v>14</v>
      </c>
      <c r="E494" s="3" t="n">
        <v>30</v>
      </c>
      <c r="F494" s="4" t="n">
        <v>-9</v>
      </c>
      <c r="G494" s="4" t="n">
        <v>11</v>
      </c>
      <c r="H494" s="4"/>
      <c r="I494" s="4" t="n">
        <v>0</v>
      </c>
      <c r="J494" s="4" t="n">
        <v>0</v>
      </c>
      <c r="K494" s="4" t="n">
        <v>0</v>
      </c>
      <c r="L494" s="4" t="n">
        <f aca="false">IF(COUNT(I494:K494)=0,"",SUM(I494:K494))</f>
        <v>0</v>
      </c>
    </row>
    <row r="495" customFormat="false" ht="15" hidden="false" customHeight="false" outlineLevel="0" collapsed="false">
      <c r="A495" s="2" t="n">
        <v>494</v>
      </c>
      <c r="B495" s="2" t="s">
        <v>483</v>
      </c>
      <c r="C495" s="2" t="s">
        <v>524</v>
      </c>
      <c r="D495" s="2" t="s">
        <v>14</v>
      </c>
      <c r="E495" s="3"/>
      <c r="F495" s="4" t="n">
        <v>260.3</v>
      </c>
      <c r="G495" s="4" t="n">
        <v>11.4</v>
      </c>
      <c r="H495" s="4"/>
      <c r="I495" s="4" t="n">
        <v>50</v>
      </c>
      <c r="J495" s="4" t="n">
        <v>138</v>
      </c>
      <c r="K495" s="4" t="n">
        <v>0</v>
      </c>
      <c r="L495" s="4" t="n">
        <f aca="false">IF(COUNT(I495:K495)=0,"",SUM(I495:K495))</f>
        <v>188</v>
      </c>
    </row>
    <row r="496" customFormat="false" ht="15" hidden="false" customHeight="false" outlineLevel="0" collapsed="false">
      <c r="A496" s="2" t="n">
        <v>495</v>
      </c>
      <c r="B496" s="2" t="s">
        <v>483</v>
      </c>
      <c r="C496" s="2" t="s">
        <v>525</v>
      </c>
      <c r="D496" s="2" t="s">
        <v>14</v>
      </c>
      <c r="E496" s="3"/>
      <c r="F496" s="4" t="n">
        <v>2</v>
      </c>
      <c r="G496" s="4" t="n">
        <v>0</v>
      </c>
      <c r="H496" s="4"/>
      <c r="I496" s="4" t="n">
        <v>0</v>
      </c>
      <c r="J496" s="4" t="n">
        <v>0</v>
      </c>
      <c r="K496" s="4" t="n">
        <v>0</v>
      </c>
      <c r="L496" s="4" t="n">
        <f aca="false">IF(COUNT(I496:K496)=0,"",SUM(I496:K496))</f>
        <v>0</v>
      </c>
    </row>
    <row r="497" customFormat="false" ht="15" hidden="false" customHeight="false" outlineLevel="0" collapsed="false">
      <c r="A497" s="2" t="n">
        <v>496</v>
      </c>
      <c r="B497" s="2" t="s">
        <v>483</v>
      </c>
      <c r="C497" s="2" t="s">
        <v>526</v>
      </c>
      <c r="D497" s="2" t="s">
        <v>14</v>
      </c>
      <c r="E497" s="3"/>
      <c r="F497" s="4" t="n">
        <v>1</v>
      </c>
      <c r="G497" s="4" t="n">
        <v>0</v>
      </c>
      <c r="H497" s="4"/>
      <c r="I497" s="4" t="n">
        <v>0</v>
      </c>
      <c r="J497" s="4" t="n">
        <v>0</v>
      </c>
      <c r="K497" s="4" t="n">
        <v>0</v>
      </c>
      <c r="L497" s="4" t="n">
        <f aca="false">IF(COUNT(I497:K497)=0,"",SUM(I497:K497))</f>
        <v>0</v>
      </c>
    </row>
    <row r="498" customFormat="false" ht="15" hidden="false" customHeight="false" outlineLevel="0" collapsed="false">
      <c r="A498" s="2" t="n">
        <v>497</v>
      </c>
      <c r="B498" s="2" t="s">
        <v>483</v>
      </c>
      <c r="C498" s="2" t="s">
        <v>527</v>
      </c>
      <c r="D498" s="2" t="s">
        <v>14</v>
      </c>
      <c r="E498" s="3"/>
      <c r="F498" s="4" t="n">
        <v>348.3</v>
      </c>
      <c r="G498" s="4" t="n">
        <v>5.2</v>
      </c>
      <c r="H498" s="4"/>
      <c r="I498" s="4" t="n">
        <v>30</v>
      </c>
      <c r="J498" s="4" t="n">
        <v>50.6</v>
      </c>
      <c r="K498" s="4" t="n">
        <v>47.8</v>
      </c>
      <c r="L498" s="4" t="n">
        <f aca="false">IF(COUNT(I498:K498)=0,"",SUM(I498:K498))</f>
        <v>128.4</v>
      </c>
    </row>
    <row r="499" customFormat="false" ht="15" hidden="false" customHeight="false" outlineLevel="0" collapsed="false">
      <c r="A499" s="2" t="n">
        <v>498</v>
      </c>
      <c r="B499" s="2" t="s">
        <v>483</v>
      </c>
      <c r="C499" s="2" t="s">
        <v>528</v>
      </c>
      <c r="D499" s="2" t="s">
        <v>14</v>
      </c>
      <c r="E499" s="3"/>
      <c r="F499" s="4" t="n">
        <v>5</v>
      </c>
      <c r="G499" s="4" t="n">
        <v>0</v>
      </c>
      <c r="H499" s="4"/>
      <c r="I499" s="4" t="n">
        <v>0</v>
      </c>
      <c r="J499" s="4" t="n">
        <v>0</v>
      </c>
      <c r="K499" s="4" t="n">
        <v>144</v>
      </c>
      <c r="L499" s="4" t="n">
        <f aca="false">IF(COUNT(I499:K499)=0,"",SUM(I499:K499))</f>
        <v>144</v>
      </c>
    </row>
    <row r="500" customFormat="false" ht="15" hidden="false" customHeight="false" outlineLevel="0" collapsed="false">
      <c r="A500" s="2" t="n">
        <v>499</v>
      </c>
      <c r="B500" s="2" t="s">
        <v>483</v>
      </c>
      <c r="C500" s="2" t="s">
        <v>529</v>
      </c>
      <c r="D500" s="2" t="s">
        <v>14</v>
      </c>
      <c r="E500" s="3"/>
      <c r="F500" s="4" t="n">
        <v>3</v>
      </c>
      <c r="G500" s="4" t="n">
        <v>0</v>
      </c>
      <c r="H500" s="4"/>
      <c r="I500" s="4" t="n">
        <v>0</v>
      </c>
      <c r="J500" s="4" t="n">
        <v>0</v>
      </c>
      <c r="K500" s="4" t="n">
        <v>98</v>
      </c>
      <c r="L500" s="4" t="n">
        <f aca="false">IF(COUNT(I500:K500)=0,"",SUM(I500:K500))</f>
        <v>98</v>
      </c>
    </row>
    <row r="501" customFormat="false" ht="15" hidden="false" customHeight="false" outlineLevel="0" collapsed="false">
      <c r="A501" s="2" t="n">
        <v>500</v>
      </c>
      <c r="B501" s="2" t="s">
        <v>483</v>
      </c>
      <c r="C501" s="2" t="s">
        <v>530</v>
      </c>
      <c r="D501" s="2" t="s">
        <v>14</v>
      </c>
      <c r="E501" s="3"/>
      <c r="F501" s="4" t="n">
        <v>2</v>
      </c>
      <c r="G501" s="4" t="n">
        <v>0</v>
      </c>
      <c r="H501" s="4"/>
      <c r="I501" s="4" t="n">
        <v>0</v>
      </c>
      <c r="J501" s="4" t="n">
        <v>0</v>
      </c>
      <c r="K501" s="4" t="n">
        <v>93</v>
      </c>
      <c r="L501" s="4" t="n">
        <f aca="false">IF(COUNT(I501:K501)=0,"",SUM(I501:K501))</f>
        <v>93</v>
      </c>
    </row>
    <row r="502" customFormat="false" ht="15" hidden="false" customHeight="false" outlineLevel="0" collapsed="false">
      <c r="A502" s="2" t="n">
        <v>501</v>
      </c>
      <c r="B502" s="2" t="s">
        <v>483</v>
      </c>
      <c r="C502" s="2" t="s">
        <v>531</v>
      </c>
      <c r="D502" s="2" t="s">
        <v>14</v>
      </c>
      <c r="E502" s="3"/>
      <c r="F502" s="4" t="n">
        <v>3</v>
      </c>
      <c r="G502" s="4" t="n">
        <v>0</v>
      </c>
      <c r="H502" s="4"/>
      <c r="I502" s="4" t="n">
        <v>0</v>
      </c>
      <c r="J502" s="4" t="n">
        <v>3</v>
      </c>
      <c r="K502" s="4" t="n">
        <v>180</v>
      </c>
      <c r="L502" s="4" t="n">
        <f aca="false">IF(COUNT(I502:K502)=0,"",SUM(I502:K502))</f>
        <v>183</v>
      </c>
    </row>
    <row r="503" customFormat="false" ht="15" hidden="false" customHeight="false" outlineLevel="0" collapsed="false">
      <c r="A503" s="2" t="n">
        <v>502</v>
      </c>
      <c r="B503" s="2" t="s">
        <v>483</v>
      </c>
      <c r="C503" s="2" t="s">
        <v>532</v>
      </c>
      <c r="D503" s="2" t="s">
        <v>14</v>
      </c>
      <c r="E503" s="3"/>
      <c r="F503" s="4" t="n">
        <v>2</v>
      </c>
      <c r="G503" s="4" t="n">
        <v>0</v>
      </c>
      <c r="H503" s="4"/>
      <c r="I503" s="4" t="n">
        <v>0</v>
      </c>
      <c r="J503" s="4" t="n">
        <v>0</v>
      </c>
      <c r="K503" s="4" t="n">
        <v>74</v>
      </c>
      <c r="L503" s="4" t="n">
        <f aca="false">IF(COUNT(I503:K503)=0,"",SUM(I503:K503))</f>
        <v>74</v>
      </c>
    </row>
    <row r="504" customFormat="false" ht="15" hidden="false" customHeight="false" outlineLevel="0" collapsed="false">
      <c r="A504" s="2" t="n">
        <v>503</v>
      </c>
      <c r="B504" s="2" t="s">
        <v>483</v>
      </c>
      <c r="C504" s="2" t="s">
        <v>533</v>
      </c>
      <c r="D504" s="2" t="s">
        <v>14</v>
      </c>
      <c r="E504" s="3"/>
      <c r="F504" s="4" t="n">
        <v>7</v>
      </c>
      <c r="G504" s="4" t="n">
        <v>0</v>
      </c>
      <c r="H504" s="4"/>
      <c r="I504" s="4" t="n">
        <v>0</v>
      </c>
      <c r="J504" s="4" t="n">
        <v>0</v>
      </c>
      <c r="K504" s="4" t="n">
        <v>75</v>
      </c>
      <c r="L504" s="4" t="n">
        <f aca="false">IF(COUNT(I504:K504)=0,"",SUM(I504:K504))</f>
        <v>75</v>
      </c>
    </row>
    <row r="505" customFormat="false" ht="15" hidden="false" customHeight="false" outlineLevel="0" collapsed="false">
      <c r="A505" s="2" t="n">
        <v>504</v>
      </c>
      <c r="B505" s="2" t="s">
        <v>483</v>
      </c>
      <c r="C505" s="2" t="s">
        <v>534</v>
      </c>
      <c r="D505" s="2" t="s">
        <v>14</v>
      </c>
      <c r="E505" s="3"/>
      <c r="F505" s="4" t="n">
        <v>6</v>
      </c>
      <c r="G505" s="4" t="n">
        <v>0</v>
      </c>
      <c r="H505" s="4"/>
      <c r="I505" s="4" t="n">
        <v>0</v>
      </c>
      <c r="J505" s="4" t="n">
        <v>3</v>
      </c>
      <c r="K505" s="4" t="n">
        <v>167</v>
      </c>
      <c r="L505" s="4" t="n">
        <f aca="false">IF(COUNT(I505:K505)=0,"",SUM(I505:K505))</f>
        <v>170</v>
      </c>
    </row>
    <row r="506" customFormat="false" ht="15" hidden="false" customHeight="false" outlineLevel="0" collapsed="false">
      <c r="A506" s="2" t="n">
        <v>505</v>
      </c>
      <c r="B506" s="2" t="s">
        <v>483</v>
      </c>
      <c r="C506" s="2" t="s">
        <v>535</v>
      </c>
      <c r="D506" s="2" t="s">
        <v>14</v>
      </c>
      <c r="E506" s="3"/>
      <c r="F506" s="4" t="n">
        <v>6</v>
      </c>
      <c r="G506" s="4" t="n">
        <v>0</v>
      </c>
      <c r="H506" s="4"/>
      <c r="I506" s="4" t="n">
        <v>0</v>
      </c>
      <c r="J506" s="4" t="n">
        <v>0</v>
      </c>
      <c r="K506" s="4" t="n">
        <v>54</v>
      </c>
      <c r="L506" s="4" t="n">
        <f aca="false">IF(COUNT(I506:K506)=0,"",SUM(I506:K506))</f>
        <v>54</v>
      </c>
    </row>
    <row r="507" customFormat="false" ht="15" hidden="false" customHeight="false" outlineLevel="0" collapsed="false">
      <c r="A507" s="2" t="n">
        <v>506</v>
      </c>
      <c r="B507" s="2" t="s">
        <v>483</v>
      </c>
      <c r="C507" s="2" t="s">
        <v>536</v>
      </c>
      <c r="D507" s="2" t="s">
        <v>14</v>
      </c>
      <c r="E507" s="3"/>
      <c r="F507" s="4" t="n">
        <v>4</v>
      </c>
      <c r="G507" s="4" t="n">
        <v>0</v>
      </c>
      <c r="H507" s="4"/>
      <c r="I507" s="4" t="n">
        <v>0</v>
      </c>
      <c r="J507" s="4" t="n">
        <v>0</v>
      </c>
      <c r="K507" s="4" t="n">
        <v>59</v>
      </c>
      <c r="L507" s="4" t="n">
        <f aca="false">IF(COUNT(I507:K507)=0,"",SUM(I507:K507))</f>
        <v>59</v>
      </c>
    </row>
    <row r="508" customFormat="false" ht="15" hidden="false" customHeight="false" outlineLevel="0" collapsed="false">
      <c r="A508" s="2" t="n">
        <v>507</v>
      </c>
      <c r="B508" s="2" t="s">
        <v>483</v>
      </c>
      <c r="C508" s="2" t="s">
        <v>537</v>
      </c>
      <c r="D508" s="2" t="s">
        <v>14</v>
      </c>
      <c r="E508" s="3"/>
      <c r="F508" s="4" t="n">
        <v>1</v>
      </c>
      <c r="G508" s="4" t="n">
        <v>80.6</v>
      </c>
      <c r="H508" s="4"/>
      <c r="I508" s="4" t="n">
        <v>500</v>
      </c>
      <c r="J508" s="4" t="n">
        <v>300</v>
      </c>
      <c r="K508" s="4" t="n">
        <v>617</v>
      </c>
      <c r="L508" s="4" t="n">
        <f aca="false">IF(COUNT(I508:K508)=0,"",SUM(I508:K508))</f>
        <v>1417</v>
      </c>
    </row>
    <row r="509" customFormat="false" ht="15" hidden="false" customHeight="false" outlineLevel="0" collapsed="false">
      <c r="A509" s="2" t="n">
        <v>508</v>
      </c>
      <c r="B509" s="2" t="s">
        <v>483</v>
      </c>
      <c r="C509" s="2" t="s">
        <v>538</v>
      </c>
      <c r="D509" s="2" t="s">
        <v>14</v>
      </c>
      <c r="E509" s="3" t="n">
        <v>65</v>
      </c>
      <c r="F509" s="4" t="n">
        <v>50</v>
      </c>
      <c r="G509" s="4" t="n">
        <v>6.7</v>
      </c>
      <c r="H509" s="4"/>
      <c r="I509" s="4" t="n">
        <v>29</v>
      </c>
      <c r="J509" s="4" t="n">
        <v>0</v>
      </c>
      <c r="K509" s="4" t="n">
        <v>0</v>
      </c>
      <c r="L509" s="4" t="n">
        <f aca="false">IF(COUNT(I509:K509)=0,"",SUM(I509:K509))</f>
        <v>29</v>
      </c>
    </row>
    <row r="510" customFormat="false" ht="15" hidden="false" customHeight="false" outlineLevel="0" collapsed="false">
      <c r="A510" s="2" t="n">
        <v>509</v>
      </c>
      <c r="B510" s="2" t="s">
        <v>483</v>
      </c>
      <c r="C510" s="2" t="s">
        <v>539</v>
      </c>
      <c r="D510" s="2" t="s">
        <v>14</v>
      </c>
      <c r="E510" s="3"/>
      <c r="F510" s="4" t="n">
        <v>105.8</v>
      </c>
      <c r="G510" s="4" t="n">
        <v>3.1</v>
      </c>
      <c r="H510" s="4"/>
      <c r="I510" s="4" t="n">
        <v>14.7</v>
      </c>
      <c r="J510" s="4" t="n">
        <v>19.3</v>
      </c>
      <c r="K510" s="4" t="n">
        <v>17.2</v>
      </c>
      <c r="L510" s="4" t="n">
        <f aca="false">IF(COUNT(I510:K510)=0,"",SUM(I510:K510))</f>
        <v>51.2</v>
      </c>
    </row>
    <row r="511" customFormat="false" ht="15" hidden="false" customHeight="false" outlineLevel="0" collapsed="false">
      <c r="A511" s="2" t="n">
        <v>510</v>
      </c>
      <c r="B511" s="2" t="s">
        <v>483</v>
      </c>
      <c r="C511" s="2" t="s">
        <v>540</v>
      </c>
      <c r="D511" s="2" t="s">
        <v>14</v>
      </c>
      <c r="E511" s="3" t="n">
        <v>177</v>
      </c>
      <c r="F511" s="4" t="n">
        <v>170.6</v>
      </c>
      <c r="G511" s="4" t="n">
        <v>2.9</v>
      </c>
      <c r="H511" s="4"/>
      <c r="I511" s="4" t="n">
        <v>13</v>
      </c>
      <c r="J511" s="4" t="n">
        <v>36</v>
      </c>
      <c r="K511" s="4" t="n">
        <v>26</v>
      </c>
      <c r="L511" s="4" t="n">
        <f aca="false">IF(COUNT(I511:K511)=0,"",SUM(I511:K511))</f>
        <v>75</v>
      </c>
    </row>
    <row r="512" customFormat="false" ht="15" hidden="false" customHeight="false" outlineLevel="0" collapsed="false">
      <c r="A512" s="2" t="n">
        <v>511</v>
      </c>
      <c r="B512" s="2" t="s">
        <v>483</v>
      </c>
      <c r="C512" s="2" t="s">
        <v>541</v>
      </c>
      <c r="D512" s="2" t="s">
        <v>14</v>
      </c>
      <c r="E512" s="3" t="n">
        <v>36</v>
      </c>
      <c r="F512" s="4" t="n">
        <v>34.5</v>
      </c>
      <c r="G512" s="4" t="n">
        <v>2</v>
      </c>
      <c r="H512" s="4"/>
      <c r="I512" s="4" t="n">
        <v>6</v>
      </c>
      <c r="J512" s="4" t="n">
        <v>0</v>
      </c>
      <c r="K512" s="4" t="n">
        <v>0</v>
      </c>
      <c r="L512" s="4" t="n">
        <f aca="false">IF(COUNT(I512:K512)=0,"",SUM(I512:K512))</f>
        <v>6</v>
      </c>
    </row>
    <row r="513" customFormat="false" ht="15" hidden="false" customHeight="false" outlineLevel="0" collapsed="false">
      <c r="A513" s="2" t="n">
        <v>512</v>
      </c>
      <c r="B513" s="2" t="s">
        <v>483</v>
      </c>
      <c r="C513" s="2" t="s">
        <v>542</v>
      </c>
      <c r="D513" s="2" t="s">
        <v>14</v>
      </c>
      <c r="E513" s="3" t="n">
        <v>16</v>
      </c>
      <c r="F513" s="4" t="n">
        <v>16</v>
      </c>
      <c r="G513" s="4" t="n">
        <v>0</v>
      </c>
      <c r="H513" s="4"/>
      <c r="I513" s="4" t="n">
        <v>0</v>
      </c>
      <c r="J513" s="4" t="n">
        <v>0</v>
      </c>
      <c r="K513" s="4" t="n">
        <v>0</v>
      </c>
      <c r="L513" s="4" t="n">
        <f aca="false">IF(COUNT(I513:K513)=0,"",SUM(I513:K513))</f>
        <v>0</v>
      </c>
    </row>
    <row r="514" customFormat="false" ht="15" hidden="false" customHeight="false" outlineLevel="0" collapsed="false">
      <c r="A514" s="2" t="n">
        <v>513</v>
      </c>
      <c r="B514" s="2" t="s">
        <v>483</v>
      </c>
      <c r="C514" s="2" t="s">
        <v>543</v>
      </c>
      <c r="D514" s="2" t="s">
        <v>14</v>
      </c>
      <c r="E514" s="3"/>
      <c r="F514" s="4" t="n">
        <v>-67.7</v>
      </c>
      <c r="G514" s="4" t="n">
        <v>13.3</v>
      </c>
      <c r="H514" s="4"/>
      <c r="I514" s="4" t="n">
        <v>0</v>
      </c>
      <c r="J514" s="4" t="n">
        <v>0</v>
      </c>
      <c r="K514" s="4" t="n">
        <v>0</v>
      </c>
      <c r="L514" s="4" t="n">
        <f aca="false">IF(COUNT(I514:K514)=0,"",SUM(I514:K514))</f>
        <v>0</v>
      </c>
    </row>
    <row r="515" customFormat="false" ht="15" hidden="false" customHeight="false" outlineLevel="0" collapsed="false">
      <c r="A515" s="2" t="n">
        <v>514</v>
      </c>
      <c r="B515" s="2" t="s">
        <v>483</v>
      </c>
      <c r="C515" s="2" t="s">
        <v>544</v>
      </c>
      <c r="D515" s="2" t="s">
        <v>14</v>
      </c>
      <c r="E515" s="3" t="n">
        <v>365</v>
      </c>
      <c r="F515" s="4" t="n">
        <v>346.3</v>
      </c>
      <c r="G515" s="4" t="n">
        <v>19.3</v>
      </c>
      <c r="H515" s="4"/>
      <c r="I515" s="4" t="n">
        <v>0</v>
      </c>
      <c r="J515" s="4" t="n">
        <v>0</v>
      </c>
      <c r="K515" s="4" t="n">
        <v>0</v>
      </c>
      <c r="L515" s="4" t="n">
        <f aca="false">IF(COUNT(I515:K515)=0,"",SUM(I515:K515))</f>
        <v>0</v>
      </c>
    </row>
    <row r="516" customFormat="false" ht="15" hidden="false" customHeight="false" outlineLevel="0" collapsed="false">
      <c r="A516" s="2" t="n">
        <v>515</v>
      </c>
      <c r="B516" s="2" t="s">
        <v>483</v>
      </c>
      <c r="C516" s="2" t="s">
        <v>545</v>
      </c>
      <c r="D516" s="2" t="s">
        <v>14</v>
      </c>
      <c r="E516" s="3" t="n">
        <v>104</v>
      </c>
      <c r="F516" s="4" t="n">
        <v>104</v>
      </c>
      <c r="G516" s="4" t="n">
        <v>0</v>
      </c>
      <c r="H516" s="4"/>
      <c r="I516" s="4" t="n">
        <v>0</v>
      </c>
      <c r="J516" s="4" t="n">
        <v>0</v>
      </c>
      <c r="K516" s="4" t="n">
        <v>0</v>
      </c>
      <c r="L516" s="4" t="n">
        <f aca="false">IF(COUNT(I516:K516)=0,"",SUM(I516:K516))</f>
        <v>0</v>
      </c>
    </row>
    <row r="517" customFormat="false" ht="15" hidden="false" customHeight="false" outlineLevel="0" collapsed="false">
      <c r="A517" s="2" t="n">
        <v>516</v>
      </c>
      <c r="B517" s="2" t="s">
        <v>483</v>
      </c>
      <c r="C517" s="2" t="s">
        <v>546</v>
      </c>
      <c r="D517" s="2" t="s">
        <v>14</v>
      </c>
      <c r="E517" s="3"/>
      <c r="F517" s="4" t="n">
        <v>0</v>
      </c>
      <c r="G517" s="4" t="n">
        <v>0</v>
      </c>
      <c r="H517" s="4"/>
      <c r="I517" s="4" t="n">
        <v>0</v>
      </c>
      <c r="J517" s="4" t="n">
        <v>12</v>
      </c>
      <c r="K517" s="4" t="n">
        <v>114</v>
      </c>
      <c r="L517" s="4" t="n">
        <f aca="false">IF(COUNT(I517:K517)=0,"",SUM(I517:K517))</f>
        <v>126</v>
      </c>
    </row>
    <row r="518" customFormat="false" ht="15" hidden="false" customHeight="false" outlineLevel="0" collapsed="false">
      <c r="A518" s="2" t="n">
        <v>517</v>
      </c>
      <c r="B518" s="2" t="s">
        <v>483</v>
      </c>
      <c r="C518" s="2" t="s">
        <v>547</v>
      </c>
      <c r="D518" s="2" t="s">
        <v>14</v>
      </c>
      <c r="E518" s="3"/>
      <c r="F518" s="4" t="n">
        <v>0</v>
      </c>
      <c r="G518" s="4" t="n">
        <v>0</v>
      </c>
      <c r="H518" s="4"/>
      <c r="I518" s="4" t="n">
        <v>0</v>
      </c>
      <c r="J518" s="4" t="n">
        <v>6</v>
      </c>
      <c r="K518" s="4" t="n">
        <v>156</v>
      </c>
      <c r="L518" s="4" t="n">
        <f aca="false">IF(COUNT(I518:K518)=0,"",SUM(I518:K518))</f>
        <v>162</v>
      </c>
    </row>
    <row r="519" customFormat="false" ht="15" hidden="false" customHeight="false" outlineLevel="0" collapsed="false">
      <c r="A519" s="2" t="n">
        <v>518</v>
      </c>
      <c r="B519" s="2" t="s">
        <v>483</v>
      </c>
      <c r="C519" s="2" t="s">
        <v>548</v>
      </c>
      <c r="D519" s="2" t="s">
        <v>14</v>
      </c>
      <c r="E519" s="3" t="n">
        <v>5</v>
      </c>
      <c r="F519" s="4" t="n">
        <v>5</v>
      </c>
      <c r="G519" s="4" t="n">
        <v>0</v>
      </c>
      <c r="H519" s="4"/>
      <c r="I519" s="4" t="n">
        <v>0</v>
      </c>
      <c r="J519" s="4" t="n">
        <v>0</v>
      </c>
      <c r="K519" s="4" t="n">
        <v>0</v>
      </c>
      <c r="L519" s="4" t="n">
        <f aca="false">IF(COUNT(I519:K519)=0,"",SUM(I519:K519))</f>
        <v>0</v>
      </c>
    </row>
    <row r="520" customFormat="false" ht="15" hidden="false" customHeight="false" outlineLevel="0" collapsed="false">
      <c r="A520" s="2" t="n">
        <v>519</v>
      </c>
      <c r="B520" s="2" t="s">
        <v>483</v>
      </c>
      <c r="C520" s="2" t="s">
        <v>549</v>
      </c>
      <c r="D520" s="2" t="s">
        <v>14</v>
      </c>
      <c r="E520" s="3"/>
      <c r="F520" s="4" t="n">
        <v>5</v>
      </c>
      <c r="G520" s="4" t="n">
        <v>8.1</v>
      </c>
      <c r="H520" s="4"/>
      <c r="I520" s="4" t="n">
        <v>50</v>
      </c>
      <c r="J520" s="4" t="n">
        <v>305</v>
      </c>
      <c r="K520" s="4" t="n">
        <v>325</v>
      </c>
      <c r="L520" s="4" t="n">
        <f aca="false">IF(COUNT(I520:K520)=0,"",SUM(I520:K520))</f>
        <v>680</v>
      </c>
    </row>
    <row r="521" customFormat="false" ht="15" hidden="false" customHeight="false" outlineLevel="0" collapsed="false">
      <c r="A521" s="2" t="n">
        <v>520</v>
      </c>
      <c r="B521" s="2" t="s">
        <v>483</v>
      </c>
      <c r="C521" s="2" t="s">
        <v>550</v>
      </c>
      <c r="D521" s="2" t="s">
        <v>14</v>
      </c>
      <c r="E521" s="3" t="n">
        <v>2186</v>
      </c>
      <c r="F521" s="4" t="n">
        <v>2028.3</v>
      </c>
      <c r="G521" s="4" t="n">
        <v>269</v>
      </c>
      <c r="H521" s="4"/>
      <c r="I521" s="4" t="n">
        <v>1232</v>
      </c>
      <c r="J521" s="4" t="n">
        <v>872</v>
      </c>
      <c r="K521" s="4" t="n">
        <v>0</v>
      </c>
      <c r="L521" s="4" t="n">
        <f aca="false">IF(COUNT(I521:K521)=0,"",SUM(I521:K521))</f>
        <v>2104</v>
      </c>
    </row>
    <row r="522" customFormat="false" ht="15" hidden="false" customHeight="false" outlineLevel="0" collapsed="false">
      <c r="A522" s="2" t="n">
        <v>521</v>
      </c>
      <c r="B522" s="2" t="s">
        <v>483</v>
      </c>
      <c r="C522" s="2" t="s">
        <v>551</v>
      </c>
      <c r="D522" s="2" t="s">
        <v>14</v>
      </c>
      <c r="E522" s="3" t="n">
        <v>11</v>
      </c>
      <c r="F522" s="4" t="n">
        <v>7.7</v>
      </c>
      <c r="G522" s="4" t="n">
        <v>2.3</v>
      </c>
      <c r="H522" s="4"/>
      <c r="I522" s="4" t="n">
        <v>10</v>
      </c>
      <c r="J522" s="4" t="n">
        <v>0</v>
      </c>
      <c r="K522" s="4" t="n">
        <v>0</v>
      </c>
      <c r="L522" s="4" t="n">
        <f aca="false">IF(COUNT(I522:K522)=0,"",SUM(I522:K522))</f>
        <v>10</v>
      </c>
    </row>
    <row r="523" customFormat="false" ht="15" hidden="false" customHeight="false" outlineLevel="0" collapsed="false">
      <c r="A523" s="2" t="n">
        <v>522</v>
      </c>
      <c r="B523" s="2" t="s">
        <v>483</v>
      </c>
      <c r="C523" s="2" t="s">
        <v>552</v>
      </c>
      <c r="D523" s="2" t="s">
        <v>14</v>
      </c>
      <c r="E523" s="3" t="n">
        <v>1575</v>
      </c>
      <c r="F523" s="4" t="n">
        <v>1644</v>
      </c>
      <c r="G523" s="4" t="n">
        <v>118.7</v>
      </c>
      <c r="H523" s="4"/>
      <c r="I523" s="4" t="n">
        <v>550</v>
      </c>
      <c r="J523" s="4" t="n">
        <v>623</v>
      </c>
      <c r="K523" s="4" t="n">
        <v>453</v>
      </c>
      <c r="L523" s="4" t="n">
        <f aca="false">IF(COUNT(I523:K523)=0,"",SUM(I523:K523))</f>
        <v>1626</v>
      </c>
    </row>
    <row r="524" customFormat="false" ht="15" hidden="false" customHeight="false" outlineLevel="0" collapsed="false">
      <c r="A524" s="2" t="n">
        <v>523</v>
      </c>
      <c r="B524" s="2" t="s">
        <v>483</v>
      </c>
      <c r="C524" s="2" t="s">
        <v>553</v>
      </c>
      <c r="D524" s="2" t="s">
        <v>14</v>
      </c>
      <c r="E524" s="3" t="n">
        <v>606</v>
      </c>
      <c r="F524" s="4" t="n">
        <v>607.9</v>
      </c>
      <c r="G524" s="4" t="n">
        <v>57</v>
      </c>
      <c r="H524" s="4"/>
      <c r="I524" s="4" t="n">
        <v>259</v>
      </c>
      <c r="J524" s="4" t="n">
        <v>259.9</v>
      </c>
      <c r="K524" s="4" t="n">
        <v>30</v>
      </c>
      <c r="L524" s="4" t="n">
        <f aca="false">IF(COUNT(I524:K524)=0,"",SUM(I524:K524))</f>
        <v>548.9</v>
      </c>
    </row>
    <row r="525" customFormat="false" ht="15" hidden="false" customHeight="false" outlineLevel="0" collapsed="false">
      <c r="A525" s="2" t="n">
        <v>524</v>
      </c>
      <c r="B525" s="2" t="s">
        <v>483</v>
      </c>
      <c r="C525" s="2" t="s">
        <v>554</v>
      </c>
      <c r="D525" s="2" t="s">
        <v>14</v>
      </c>
      <c r="E525" s="3"/>
      <c r="F525" s="4" t="n">
        <v>0</v>
      </c>
      <c r="G525" s="4" t="n">
        <v>0</v>
      </c>
      <c r="H525" s="4"/>
      <c r="I525" s="4" t="n">
        <v>0</v>
      </c>
      <c r="J525" s="4" t="n">
        <v>0</v>
      </c>
      <c r="K525" s="4" t="n">
        <v>700</v>
      </c>
      <c r="L525" s="4" t="n">
        <f aca="false">IF(COUNT(I525:K525)=0,"",SUM(I525:K525))</f>
        <v>700</v>
      </c>
    </row>
    <row r="526" customFormat="false" ht="15" hidden="false" customHeight="false" outlineLevel="0" collapsed="false">
      <c r="A526" s="2" t="n">
        <v>525</v>
      </c>
      <c r="B526" s="2" t="s">
        <v>483</v>
      </c>
      <c r="C526" s="2" t="s">
        <v>555</v>
      </c>
      <c r="D526" s="2" t="s">
        <v>14</v>
      </c>
      <c r="E526" s="3" t="n">
        <v>154</v>
      </c>
      <c r="F526" s="4" t="n">
        <v>192.7</v>
      </c>
      <c r="G526" s="4" t="n">
        <v>19.7</v>
      </c>
      <c r="H526" s="4"/>
      <c r="I526" s="4" t="n">
        <v>88</v>
      </c>
      <c r="J526" s="4" t="n">
        <v>88</v>
      </c>
      <c r="K526" s="4" t="n">
        <v>66</v>
      </c>
      <c r="L526" s="4" t="n">
        <f aca="false">IF(COUNT(I526:K526)=0,"",SUM(I526:K526))</f>
        <v>242</v>
      </c>
    </row>
    <row r="527" customFormat="false" ht="15" hidden="false" customHeight="false" outlineLevel="0" collapsed="false">
      <c r="A527" s="2" t="n">
        <v>526</v>
      </c>
      <c r="B527" s="2" t="s">
        <v>483</v>
      </c>
      <c r="C527" s="2" t="s">
        <v>556</v>
      </c>
      <c r="D527" s="2" t="s">
        <v>14</v>
      </c>
      <c r="E527" s="3" t="n">
        <v>71</v>
      </c>
      <c r="F527" s="4" t="n">
        <v>145.3</v>
      </c>
      <c r="G527" s="4" t="n">
        <v>17.1</v>
      </c>
      <c r="H527" s="4"/>
      <c r="I527" s="4" t="n">
        <v>72</v>
      </c>
      <c r="J527" s="4" t="n">
        <v>72</v>
      </c>
      <c r="K527" s="4" t="n">
        <v>160</v>
      </c>
      <c r="L527" s="4" t="n">
        <f aca="false">IF(COUNT(I527:K527)=0,"",SUM(I527:K527))</f>
        <v>304</v>
      </c>
    </row>
    <row r="528" customFormat="false" ht="15" hidden="false" customHeight="false" outlineLevel="0" collapsed="false">
      <c r="A528" s="2" t="n">
        <v>527</v>
      </c>
      <c r="B528" s="2" t="s">
        <v>483</v>
      </c>
      <c r="C528" s="2" t="s">
        <v>557</v>
      </c>
      <c r="D528" s="2" t="s">
        <v>14</v>
      </c>
      <c r="E528" s="3" t="n">
        <v>10</v>
      </c>
      <c r="F528" s="4" t="n">
        <v>13.7</v>
      </c>
      <c r="G528" s="4" t="n">
        <v>1.5</v>
      </c>
      <c r="H528" s="4"/>
      <c r="I528" s="4" t="n">
        <v>0</v>
      </c>
      <c r="J528" s="4" t="n">
        <v>0</v>
      </c>
      <c r="K528" s="4" t="n">
        <v>0</v>
      </c>
      <c r="L528" s="4" t="n">
        <f aca="false">IF(COUNT(I528:K528)=0,"",SUM(I528:K528))</f>
        <v>0</v>
      </c>
    </row>
    <row r="529" customFormat="false" ht="15" hidden="false" customHeight="false" outlineLevel="0" collapsed="false">
      <c r="A529" s="2" t="n">
        <v>528</v>
      </c>
      <c r="B529" s="2" t="s">
        <v>483</v>
      </c>
      <c r="C529" s="2" t="s">
        <v>558</v>
      </c>
      <c r="D529" s="2" t="s">
        <v>14</v>
      </c>
      <c r="E529" s="3"/>
      <c r="F529" s="4" t="n">
        <v>106.7</v>
      </c>
      <c r="G529" s="4" t="n">
        <v>67.2</v>
      </c>
      <c r="H529" s="4"/>
      <c r="I529" s="4" t="n">
        <v>90</v>
      </c>
      <c r="J529" s="4" t="n">
        <v>90</v>
      </c>
      <c r="K529" s="4" t="n">
        <v>90</v>
      </c>
      <c r="L529" s="4" t="n">
        <f aca="false">IF(COUNT(I529:K529)=0,"",SUM(I529:K529))</f>
        <v>270</v>
      </c>
    </row>
    <row r="530" customFormat="false" ht="15" hidden="false" customHeight="false" outlineLevel="0" collapsed="false">
      <c r="A530" s="2" t="n">
        <v>529</v>
      </c>
      <c r="B530" s="2" t="s">
        <v>483</v>
      </c>
      <c r="C530" s="2" t="s">
        <v>559</v>
      </c>
      <c r="D530" s="2" t="s">
        <v>14</v>
      </c>
      <c r="E530" s="3" t="n">
        <v>5</v>
      </c>
      <c r="F530" s="4" t="n">
        <v>10</v>
      </c>
      <c r="G530" s="4" t="n">
        <v>0</v>
      </c>
      <c r="H530" s="4"/>
      <c r="I530" s="4" t="n">
        <v>0</v>
      </c>
      <c r="J530" s="4" t="n">
        <v>0</v>
      </c>
      <c r="K530" s="4" t="n">
        <v>0</v>
      </c>
      <c r="L530" s="4" t="n">
        <f aca="false">IF(COUNT(I530:K530)=0,"",SUM(I530:K530))</f>
        <v>0</v>
      </c>
    </row>
    <row r="531" customFormat="false" ht="15" hidden="false" customHeight="false" outlineLevel="0" collapsed="false">
      <c r="A531" s="2" t="n">
        <v>530</v>
      </c>
      <c r="B531" s="2" t="s">
        <v>483</v>
      </c>
      <c r="C531" s="2" t="s">
        <v>560</v>
      </c>
      <c r="D531" s="2" t="s">
        <v>14</v>
      </c>
      <c r="E531" s="3"/>
      <c r="F531" s="4" t="n">
        <v>307.4</v>
      </c>
      <c r="G531" s="4" t="n">
        <v>3.6</v>
      </c>
      <c r="H531" s="4"/>
      <c r="I531" s="4" t="n">
        <v>15</v>
      </c>
      <c r="J531" s="4" t="n">
        <v>54</v>
      </c>
      <c r="K531" s="4" t="n">
        <v>52.2</v>
      </c>
      <c r="L531" s="4" t="n">
        <f aca="false">IF(COUNT(I531:K531)=0,"",SUM(I531:K531))</f>
        <v>121.2</v>
      </c>
    </row>
    <row r="532" customFormat="false" ht="15" hidden="false" customHeight="false" outlineLevel="0" collapsed="false">
      <c r="A532" s="2" t="n">
        <v>531</v>
      </c>
      <c r="B532" s="2" t="s">
        <v>483</v>
      </c>
      <c r="C532" s="2" t="s">
        <v>561</v>
      </c>
      <c r="D532" s="2" t="s">
        <v>14</v>
      </c>
      <c r="E532" s="3" t="n">
        <v>8</v>
      </c>
      <c r="F532" s="4" t="n">
        <v>25</v>
      </c>
      <c r="G532" s="4" t="n">
        <v>5.4</v>
      </c>
      <c r="H532" s="4"/>
      <c r="I532" s="4" t="n">
        <v>15</v>
      </c>
      <c r="J532" s="4" t="n">
        <v>0</v>
      </c>
      <c r="K532" s="4" t="n">
        <v>0</v>
      </c>
      <c r="L532" s="4" t="n">
        <f aca="false">IF(COUNT(I532:K532)=0,"",SUM(I532:K532))</f>
        <v>15</v>
      </c>
    </row>
    <row r="533" customFormat="false" ht="15" hidden="false" customHeight="false" outlineLevel="0" collapsed="false">
      <c r="A533" s="2" t="n">
        <v>532</v>
      </c>
      <c r="B533" s="2" t="s">
        <v>483</v>
      </c>
      <c r="C533" s="2" t="s">
        <v>562</v>
      </c>
      <c r="D533" s="2" t="s">
        <v>14</v>
      </c>
      <c r="E533" s="3"/>
      <c r="F533" s="4" t="n">
        <v>155.5</v>
      </c>
      <c r="G533" s="4" t="n">
        <v>20.4</v>
      </c>
      <c r="H533" s="4"/>
      <c r="I533" s="4" t="n">
        <v>58</v>
      </c>
      <c r="J533" s="4" t="n">
        <v>0</v>
      </c>
      <c r="K533" s="4" t="n">
        <v>0</v>
      </c>
      <c r="L533" s="4" t="n">
        <f aca="false">IF(COUNT(I533:K533)=0,"",SUM(I533:K533))</f>
        <v>58</v>
      </c>
    </row>
    <row r="534" customFormat="false" ht="15" hidden="false" customHeight="false" outlineLevel="0" collapsed="false">
      <c r="A534" s="2" t="n">
        <v>533</v>
      </c>
      <c r="B534" s="2" t="s">
        <v>483</v>
      </c>
      <c r="C534" s="2" t="s">
        <v>563</v>
      </c>
      <c r="D534" s="2" t="s">
        <v>14</v>
      </c>
      <c r="E534" s="3" t="n">
        <v>1</v>
      </c>
      <c r="F534" s="4" t="n">
        <v>1</v>
      </c>
      <c r="G534" s="4" t="n">
        <v>0</v>
      </c>
      <c r="H534" s="4"/>
      <c r="I534" s="4" t="n">
        <v>0</v>
      </c>
      <c r="J534" s="4" t="n">
        <v>0</v>
      </c>
      <c r="K534" s="4" t="n">
        <v>0</v>
      </c>
      <c r="L534" s="4" t="n">
        <f aca="false">IF(COUNT(I534:K534)=0,"",SUM(I534:K534))</f>
        <v>0</v>
      </c>
    </row>
    <row r="535" customFormat="false" ht="15" hidden="false" customHeight="false" outlineLevel="0" collapsed="false">
      <c r="A535" s="2" t="n">
        <v>534</v>
      </c>
      <c r="B535" s="2" t="s">
        <v>483</v>
      </c>
      <c r="C535" s="2" t="s">
        <v>564</v>
      </c>
      <c r="D535" s="2" t="s">
        <v>14</v>
      </c>
      <c r="E535" s="3" t="n">
        <v>16</v>
      </c>
      <c r="F535" s="4" t="n">
        <v>33.2</v>
      </c>
      <c r="G535" s="4" t="n">
        <v>4.6</v>
      </c>
      <c r="H535" s="4"/>
      <c r="I535" s="4" t="n">
        <v>0</v>
      </c>
      <c r="J535" s="4" t="n">
        <v>0</v>
      </c>
      <c r="K535" s="4" t="n">
        <v>0</v>
      </c>
      <c r="L535" s="4" t="n">
        <f aca="false">IF(COUNT(I535:K535)=0,"",SUM(I535:K535))</f>
        <v>0</v>
      </c>
    </row>
  </sheetData>
  <autoFilter ref="A1:L5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9" min="7" style="0" width="12"/>
    <col collapsed="false" customWidth="true" hidden="false" outlineLevel="0" max="10" min="10" style="0" width="13"/>
  </cols>
  <sheetData>
    <row r="1" customFormat="false" ht="42" hidden="false" customHeight="true" outlineLevel="0" collapsed="false">
      <c r="A1" s="1" t="s">
        <v>1</v>
      </c>
      <c r="B1" s="1" t="s">
        <v>565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8</v>
      </c>
      <c r="H1" s="1" t="s">
        <v>9</v>
      </c>
      <c r="I1" s="1" t="s">
        <v>10</v>
      </c>
      <c r="J1" s="1" t="s">
        <v>570</v>
      </c>
    </row>
    <row r="2" customFormat="false" ht="15" hidden="false" customHeight="false" outlineLevel="0" collapsed="false">
      <c r="A2" s="2" t="s">
        <v>12</v>
      </c>
      <c r="B2" s="3" t="n">
        <f aca="false">COUNTIFS('All Products'!B:B,A2,'All Products'!D:D,"Product")</f>
        <v>38</v>
      </c>
      <c r="C2" s="3" t="n">
        <f aca="false">SUMIFS('All Products'!E:E,'All Products'!B:B,A2,'All Products'!D:D,"Product")</f>
        <v>18895</v>
      </c>
      <c r="D2" s="3" t="n">
        <f aca="false">SUMIFS('All Products'!F:F,'All Products'!B:B,A2,'All Products'!D:D,"Product")</f>
        <v>13154.9</v>
      </c>
      <c r="E2" s="3" t="n">
        <f aca="false">SUMIFS('All Products'!G:G,'All Products'!B:B,A2,'All Products'!D:D,"Product")</f>
        <v>3186.9</v>
      </c>
      <c r="F2" s="3" t="n">
        <f aca="false">SUMIFS('All Products'!H:H,'All Products'!B:B,A2,'All Products'!D:D,"Product")</f>
        <v>1319</v>
      </c>
      <c r="G2" s="3" t="n">
        <f aca="false">SUMIFS('All Products'!I:I,'All Products'!B:B,A2,'All Products'!D:D,"Product")</f>
        <v>14113.2</v>
      </c>
      <c r="H2" s="3" t="n">
        <f aca="false">SUMIFS('All Products'!J:J,'All Products'!B:B,A2,'All Products'!D:D,"Product")</f>
        <v>12492.2</v>
      </c>
      <c r="I2" s="3" t="n">
        <f aca="false">SUMIFS('All Products'!K:K,'All Products'!B:B,A2,'All Products'!D:D,"Product")</f>
        <v>11854</v>
      </c>
      <c r="J2" s="3" t="n">
        <f aca="false">SUMIFS('All Products'!L:L,'All Products'!B:B,A2,'All Products'!D:D,"Product")</f>
        <v>38459.4</v>
      </c>
    </row>
    <row r="3" customFormat="false" ht="15" hidden="false" customHeight="false" outlineLevel="0" collapsed="false">
      <c r="A3" s="2" t="s">
        <v>52</v>
      </c>
      <c r="B3" s="3" t="n">
        <f aca="false">COUNTIFS('All Products'!B:B,A3,'All Products'!D:D,"Product")</f>
        <v>38</v>
      </c>
      <c r="C3" s="3" t="n">
        <f aca="false">SUMIFS('All Products'!E:E,'All Products'!B:B,A3,'All Products'!D:D,"Product")</f>
        <v>45739</v>
      </c>
      <c r="D3" s="3" t="n">
        <f aca="false">SUMIFS('All Products'!F:F,'All Products'!B:B,A3,'All Products'!D:D,"Product")</f>
        <v>83098.4</v>
      </c>
      <c r="E3" s="3" t="n">
        <f aca="false">SUMIFS('All Products'!G:G,'All Products'!B:B,A3,'All Products'!D:D,"Product")</f>
        <v>3566.1</v>
      </c>
      <c r="F3" s="3" t="n">
        <f aca="false">SUMIFS('All Products'!H:H,'All Products'!B:B,A3,'All Products'!D:D,"Product")</f>
        <v>2445</v>
      </c>
      <c r="G3" s="3" t="n">
        <f aca="false">SUMIFS('All Products'!I:I,'All Products'!B:B,A3,'All Products'!D:D,"Product")</f>
        <v>15860.6</v>
      </c>
      <c r="H3" s="3" t="n">
        <f aca="false">SUMIFS('All Products'!J:J,'All Products'!B:B,A3,'All Products'!D:D,"Product")</f>
        <v>13930.1</v>
      </c>
      <c r="I3" s="3" t="n">
        <f aca="false">SUMIFS('All Products'!K:K,'All Products'!B:B,A3,'All Products'!D:D,"Product")</f>
        <v>13907.4</v>
      </c>
      <c r="J3" s="3" t="n">
        <f aca="false">SUMIFS('All Products'!L:L,'All Products'!B:B,A3,'All Products'!D:D,"Product")</f>
        <v>43698.1</v>
      </c>
    </row>
    <row r="4" customFormat="false" ht="15" hidden="false" customHeight="false" outlineLevel="0" collapsed="false">
      <c r="A4" s="2" t="s">
        <v>91</v>
      </c>
      <c r="B4" s="3" t="n">
        <f aca="false">COUNTIFS('All Products'!B:B,A4,'All Products'!D:D,"Product")</f>
        <v>20</v>
      </c>
      <c r="C4" s="3" t="n">
        <f aca="false">SUMIFS('All Products'!E:E,'All Products'!B:B,A4,'All Products'!D:D,"Product")</f>
        <v>92006</v>
      </c>
      <c r="D4" s="3" t="n">
        <f aca="false">SUMIFS('All Products'!F:F,'All Products'!B:B,A4,'All Products'!D:D,"Product")</f>
        <v>142494.4</v>
      </c>
      <c r="E4" s="3" t="n">
        <f aca="false">SUMIFS('All Products'!G:G,'All Products'!B:B,A4,'All Products'!D:D,"Product")</f>
        <v>6725</v>
      </c>
      <c r="F4" s="3" t="n">
        <f aca="false">SUMIFS('All Products'!H:H,'All Products'!B:B,A4,'All Products'!D:D,"Product")</f>
        <v>0</v>
      </c>
      <c r="G4" s="3" t="n">
        <f aca="false">SUMIFS('All Products'!I:I,'All Products'!B:B,A4,'All Products'!D:D,"Product")</f>
        <v>29559.9</v>
      </c>
      <c r="H4" s="3" t="n">
        <f aca="false">SUMIFS('All Products'!J:J,'All Products'!B:B,A4,'All Products'!D:D,"Product")</f>
        <v>23189.7</v>
      </c>
      <c r="I4" s="3" t="n">
        <f aca="false">SUMIFS('All Products'!K:K,'All Products'!B:B,A4,'All Products'!D:D,"Product")</f>
        <v>23211.8</v>
      </c>
      <c r="J4" s="3" t="n">
        <f aca="false">SUMIFS('All Products'!L:L,'All Products'!B:B,A4,'All Products'!D:D,"Product")</f>
        <v>75961.4</v>
      </c>
    </row>
    <row r="5" customFormat="false" ht="15" hidden="false" customHeight="false" outlineLevel="0" collapsed="false">
      <c r="A5" s="2" t="s">
        <v>119</v>
      </c>
      <c r="B5" s="3" t="n">
        <f aca="false">COUNTIFS('All Products'!B:B,A5,'All Products'!D:D,"Product")</f>
        <v>45</v>
      </c>
      <c r="C5" s="3" t="n">
        <f aca="false">SUMIFS('All Products'!E:E,'All Products'!B:B,A5,'All Products'!D:D,"Product")</f>
        <v>53674</v>
      </c>
      <c r="D5" s="3" t="n">
        <f aca="false">SUMIFS('All Products'!F:F,'All Products'!B:B,A5,'All Products'!D:D,"Product")</f>
        <v>53071.6</v>
      </c>
      <c r="E5" s="3" t="n">
        <f aca="false">SUMIFS('All Products'!G:G,'All Products'!B:B,A5,'All Products'!D:D,"Product")</f>
        <v>4227.8</v>
      </c>
      <c r="F5" s="3" t="n">
        <f aca="false">SUMIFS('All Products'!H:H,'All Products'!B:B,A5,'All Products'!D:D,"Product")</f>
        <v>0</v>
      </c>
      <c r="G5" s="3" t="n">
        <f aca="false">SUMIFS('All Products'!I:I,'All Products'!B:B,A5,'All Products'!D:D,"Product")</f>
        <v>18449.4</v>
      </c>
      <c r="H5" s="3" t="n">
        <f aca="false">SUMIFS('All Products'!J:J,'All Products'!B:B,A5,'All Products'!D:D,"Product")</f>
        <v>15192</v>
      </c>
      <c r="I5" s="3" t="n">
        <f aca="false">SUMIFS('All Products'!K:K,'All Products'!B:B,A5,'All Products'!D:D,"Product")</f>
        <v>14826.2</v>
      </c>
      <c r="J5" s="3" t="n">
        <f aca="false">SUMIFS('All Products'!L:L,'All Products'!B:B,A5,'All Products'!D:D,"Product")</f>
        <v>48467.6</v>
      </c>
    </row>
    <row r="6" customFormat="false" ht="15" hidden="false" customHeight="false" outlineLevel="0" collapsed="false">
      <c r="A6" s="2" t="s">
        <v>165</v>
      </c>
      <c r="B6" s="3" t="n">
        <f aca="false">COUNTIFS('All Products'!B:B,A6,'All Products'!D:D,"Product")</f>
        <v>9</v>
      </c>
      <c r="C6" s="3" t="n">
        <f aca="false">SUMIFS('All Products'!E:E,'All Products'!B:B,A6,'All Products'!D:D,"Product")</f>
        <v>5479</v>
      </c>
      <c r="D6" s="3" t="n">
        <f aca="false">SUMIFS('All Products'!F:F,'All Products'!B:B,A6,'All Products'!D:D,"Product")</f>
        <v>5395.7</v>
      </c>
      <c r="E6" s="3" t="n">
        <f aca="false">SUMIFS('All Products'!G:G,'All Products'!B:B,A6,'All Products'!D:D,"Product")</f>
        <v>336</v>
      </c>
      <c r="F6" s="3" t="n">
        <f aca="false">SUMIFS('All Products'!H:H,'All Products'!B:B,A6,'All Products'!D:D,"Product")</f>
        <v>0</v>
      </c>
      <c r="G6" s="3" t="n">
        <f aca="false">SUMIFS('All Products'!I:I,'All Products'!B:B,A6,'All Products'!D:D,"Product")</f>
        <v>1489.9</v>
      </c>
      <c r="H6" s="3" t="n">
        <f aca="false">SUMIFS('All Products'!J:J,'All Products'!B:B,A6,'All Products'!D:D,"Product")</f>
        <v>1269</v>
      </c>
      <c r="I6" s="3" t="n">
        <f aca="false">SUMIFS('All Products'!K:K,'All Products'!B:B,A6,'All Products'!D:D,"Product")</f>
        <v>1232.9</v>
      </c>
      <c r="J6" s="3" t="n">
        <f aca="false">SUMIFS('All Products'!L:L,'All Products'!B:B,A6,'All Products'!D:D,"Product")</f>
        <v>3991.8</v>
      </c>
    </row>
    <row r="7" customFormat="false" ht="15" hidden="false" customHeight="false" outlineLevel="0" collapsed="false">
      <c r="A7" s="2" t="s">
        <v>175</v>
      </c>
      <c r="B7" s="3" t="n">
        <f aca="false">COUNTIFS('All Products'!B:B,A7,'All Products'!D:D,"Product")</f>
        <v>28</v>
      </c>
      <c r="C7" s="3" t="n">
        <f aca="false">SUMIFS('All Products'!E:E,'All Products'!B:B,A7,'All Products'!D:D,"Product")</f>
        <v>69275</v>
      </c>
      <c r="D7" s="3" t="n">
        <f aca="false">SUMIFS('All Products'!F:F,'All Products'!B:B,A7,'All Products'!D:D,"Product")</f>
        <v>69272.3</v>
      </c>
      <c r="E7" s="3" t="n">
        <f aca="false">SUMIFS('All Products'!G:G,'All Products'!B:B,A7,'All Products'!D:D,"Product")</f>
        <v>2107.5</v>
      </c>
      <c r="F7" s="3" t="n">
        <f aca="false">SUMIFS('All Products'!H:H,'All Products'!B:B,A7,'All Products'!D:D,"Product")</f>
        <v>2099</v>
      </c>
      <c r="G7" s="3" t="n">
        <f aca="false">SUMIFS('All Products'!I:I,'All Products'!B:B,A7,'All Products'!D:D,"Product")</f>
        <v>9631.5</v>
      </c>
      <c r="H7" s="3" t="n">
        <f aca="false">SUMIFS('All Products'!J:J,'All Products'!B:B,A7,'All Products'!D:D,"Product")</f>
        <v>8042.7</v>
      </c>
      <c r="I7" s="3" t="n">
        <f aca="false">SUMIFS('All Products'!K:K,'All Products'!B:B,A7,'All Products'!D:D,"Product")</f>
        <v>8291.4</v>
      </c>
      <c r="J7" s="3" t="n">
        <f aca="false">SUMIFS('All Products'!L:L,'All Products'!B:B,A7,'All Products'!D:D,"Product")</f>
        <v>25965.6</v>
      </c>
    </row>
    <row r="8" customFormat="false" ht="15" hidden="false" customHeight="false" outlineLevel="0" collapsed="false">
      <c r="A8" s="2" t="s">
        <v>204</v>
      </c>
      <c r="B8" s="3" t="n">
        <f aca="false">COUNTIFS('All Products'!B:B,A8,'All Products'!D:D,"Product")</f>
        <v>24</v>
      </c>
      <c r="C8" s="3" t="n">
        <f aca="false">SUMIFS('All Products'!E:E,'All Products'!B:B,A8,'All Products'!D:D,"Product")</f>
        <v>316</v>
      </c>
      <c r="D8" s="3" t="n">
        <f aca="false">SUMIFS('All Products'!F:F,'All Products'!B:B,A8,'All Products'!D:D,"Product")</f>
        <v>265.2</v>
      </c>
      <c r="E8" s="3" t="n">
        <f aca="false">SUMIFS('All Products'!G:G,'All Products'!B:B,A8,'All Products'!D:D,"Product")</f>
        <v>21.2</v>
      </c>
      <c r="F8" s="3" t="n">
        <f aca="false">SUMIFS('All Products'!H:H,'All Products'!B:B,A8,'All Products'!D:D,"Product")</f>
        <v>28</v>
      </c>
      <c r="G8" s="3" t="n">
        <f aca="false">SUMIFS('All Products'!I:I,'All Products'!B:B,A8,'All Products'!D:D,"Product")</f>
        <v>90</v>
      </c>
      <c r="H8" s="3" t="n">
        <f aca="false">SUMIFS('All Products'!J:J,'All Products'!B:B,A8,'All Products'!D:D,"Product")</f>
        <v>88</v>
      </c>
      <c r="I8" s="3" t="n">
        <f aca="false">SUMIFS('All Products'!K:K,'All Products'!B:B,A8,'All Products'!D:D,"Product")</f>
        <v>114</v>
      </c>
      <c r="J8" s="3" t="n">
        <f aca="false">SUMIFS('All Products'!L:L,'All Products'!B:B,A8,'All Products'!D:D,"Product")</f>
        <v>292</v>
      </c>
    </row>
    <row r="9" customFormat="false" ht="15" hidden="false" customHeight="false" outlineLevel="0" collapsed="false">
      <c r="A9" s="2" t="s">
        <v>229</v>
      </c>
      <c r="B9" s="3" t="n">
        <f aca="false">COUNTIFS('All Products'!B:B,A9,'All Products'!D:D,"Product")</f>
        <v>17</v>
      </c>
      <c r="C9" s="3" t="n">
        <f aca="false">SUMIFS('All Products'!E:E,'All Products'!B:B,A9,'All Products'!D:D,"Product")</f>
        <v>67109</v>
      </c>
      <c r="D9" s="3" t="n">
        <f aca="false">SUMIFS('All Products'!F:F,'All Products'!B:B,A9,'All Products'!D:D,"Product")</f>
        <v>67606.3</v>
      </c>
      <c r="E9" s="3" t="n">
        <f aca="false">SUMIFS('All Products'!G:G,'All Products'!B:B,A9,'All Products'!D:D,"Product")</f>
        <v>2650.5</v>
      </c>
      <c r="F9" s="3" t="n">
        <f aca="false">SUMIFS('All Products'!H:H,'All Products'!B:B,A9,'All Products'!D:D,"Product")</f>
        <v>0</v>
      </c>
      <c r="G9" s="3" t="n">
        <f aca="false">SUMIFS('All Products'!I:I,'All Products'!B:B,A9,'All Products'!D:D,"Product")</f>
        <v>11466.1</v>
      </c>
      <c r="H9" s="3" t="n">
        <f aca="false">SUMIFS('All Products'!J:J,'All Products'!B:B,A9,'All Products'!D:D,"Product")</f>
        <v>9907.8</v>
      </c>
      <c r="I9" s="3" t="n">
        <f aca="false">SUMIFS('All Products'!K:K,'All Products'!B:B,A9,'All Products'!D:D,"Product")</f>
        <v>10254.6</v>
      </c>
      <c r="J9" s="3" t="n">
        <f aca="false">SUMIFS('All Products'!L:L,'All Products'!B:B,A9,'All Products'!D:D,"Product")</f>
        <v>31628.5</v>
      </c>
    </row>
    <row r="10" customFormat="false" ht="15" hidden="false" customHeight="false" outlineLevel="0" collapsed="false">
      <c r="A10" s="2" t="s">
        <v>247</v>
      </c>
      <c r="B10" s="3" t="n">
        <f aca="false">COUNTIFS('All Products'!B:B,A10,'All Products'!D:D,"Product")</f>
        <v>40</v>
      </c>
      <c r="C10" s="3" t="n">
        <f aca="false">SUMIFS('All Products'!E:E,'All Products'!B:B,A10,'All Products'!D:D,"Product")</f>
        <v>77613</v>
      </c>
      <c r="D10" s="3" t="n">
        <f aca="false">SUMIFS('All Products'!F:F,'All Products'!B:B,A10,'All Products'!D:D,"Product")</f>
        <v>82670.2</v>
      </c>
      <c r="E10" s="3" t="n">
        <f aca="false">SUMIFS('All Products'!G:G,'All Products'!B:B,A10,'All Products'!D:D,"Product")</f>
        <v>3081.8</v>
      </c>
      <c r="F10" s="3" t="n">
        <f aca="false">SUMIFS('All Products'!H:H,'All Products'!B:B,A10,'All Products'!D:D,"Product")</f>
        <v>2072</v>
      </c>
      <c r="G10" s="3" t="n">
        <f aca="false">SUMIFS('All Products'!I:I,'All Products'!B:B,A10,'All Products'!D:D,"Product")</f>
        <v>13515.6</v>
      </c>
      <c r="H10" s="3" t="n">
        <f aca="false">SUMIFS('All Products'!J:J,'All Products'!B:B,A10,'All Products'!D:D,"Product")</f>
        <v>12597.2</v>
      </c>
      <c r="I10" s="3" t="n">
        <f aca="false">SUMIFS('All Products'!K:K,'All Products'!B:B,A10,'All Products'!D:D,"Product")</f>
        <v>12764.8</v>
      </c>
      <c r="J10" s="3" t="n">
        <f aca="false">SUMIFS('All Products'!L:L,'All Products'!B:B,A10,'All Products'!D:D,"Product")</f>
        <v>38877.6</v>
      </c>
    </row>
    <row r="11" customFormat="false" ht="15" hidden="false" customHeight="false" outlineLevel="0" collapsed="false">
      <c r="A11" s="2" t="s">
        <v>290</v>
      </c>
      <c r="B11" s="3" t="n">
        <f aca="false">COUNTIFS('All Products'!B:B,A11,'All Products'!D:D,"Product")</f>
        <v>19</v>
      </c>
      <c r="C11" s="3" t="n">
        <f aca="false">SUMIFS('All Products'!E:E,'All Products'!B:B,A11,'All Products'!D:D,"Product")</f>
        <v>89246</v>
      </c>
      <c r="D11" s="3" t="n">
        <f aca="false">SUMIFS('All Products'!F:F,'All Products'!B:B,A11,'All Products'!D:D,"Product")</f>
        <v>90274.6</v>
      </c>
      <c r="E11" s="3" t="n">
        <f aca="false">SUMIFS('All Products'!G:G,'All Products'!B:B,A11,'All Products'!D:D,"Product")</f>
        <v>1278.9</v>
      </c>
      <c r="F11" s="3" t="n">
        <f aca="false">SUMIFS('All Products'!H:H,'All Products'!B:B,A11,'All Products'!D:D,"Product")</f>
        <v>0</v>
      </c>
      <c r="G11" s="3" t="n">
        <f aca="false">SUMIFS('All Products'!I:I,'All Products'!B:B,A11,'All Products'!D:D,"Product")</f>
        <v>5147.2</v>
      </c>
      <c r="H11" s="3" t="n">
        <f aca="false">SUMIFS('All Products'!J:J,'All Products'!B:B,A11,'All Products'!D:D,"Product")</f>
        <v>4447</v>
      </c>
      <c r="I11" s="3" t="n">
        <f aca="false">SUMIFS('All Products'!K:K,'All Products'!B:B,A11,'All Products'!D:D,"Product")</f>
        <v>4356.9</v>
      </c>
      <c r="J11" s="3" t="n">
        <f aca="false">SUMIFS('All Products'!L:L,'All Products'!B:B,A11,'All Products'!D:D,"Product")</f>
        <v>13951.1</v>
      </c>
    </row>
    <row r="12" customFormat="false" ht="15" hidden="false" customHeight="false" outlineLevel="0" collapsed="false">
      <c r="A12" s="2" t="s">
        <v>310</v>
      </c>
      <c r="B12" s="3" t="n">
        <f aca="false">COUNTIFS('All Products'!B:B,A12,'All Products'!D:D,"Product")</f>
        <v>60</v>
      </c>
      <c r="C12" s="3" t="n">
        <f aca="false">SUMIFS('All Products'!E:E,'All Products'!B:B,A12,'All Products'!D:D,"Product")</f>
        <v>23943</v>
      </c>
      <c r="D12" s="3" t="n">
        <f aca="false">SUMIFS('All Products'!F:F,'All Products'!B:B,A12,'All Products'!D:D,"Product")</f>
        <v>100109.9</v>
      </c>
      <c r="E12" s="3" t="n">
        <f aca="false">SUMIFS('All Products'!G:G,'All Products'!B:B,A12,'All Products'!D:D,"Product")</f>
        <v>10165.2</v>
      </c>
      <c r="F12" s="3" t="n">
        <f aca="false">SUMIFS('All Products'!H:H,'All Products'!B:B,A12,'All Products'!D:D,"Product")</f>
        <v>0</v>
      </c>
      <c r="G12" s="3" t="n">
        <f aca="false">SUMIFS('All Products'!I:I,'All Products'!B:B,A12,'All Products'!D:D,"Product")</f>
        <v>45703.5</v>
      </c>
      <c r="H12" s="3" t="n">
        <f aca="false">SUMIFS('All Products'!J:J,'All Products'!B:B,A12,'All Products'!D:D,"Product")</f>
        <v>38931.9</v>
      </c>
      <c r="I12" s="3" t="n">
        <f aca="false">SUMIFS('All Products'!K:K,'All Products'!B:B,A12,'All Products'!D:D,"Product")</f>
        <v>40247</v>
      </c>
      <c r="J12" s="3" t="n">
        <f aca="false">SUMIFS('All Products'!L:L,'All Products'!B:B,A12,'All Products'!D:D,"Product")</f>
        <v>124882.4</v>
      </c>
    </row>
    <row r="13" customFormat="false" ht="15" hidden="false" customHeight="false" outlineLevel="0" collapsed="false">
      <c r="A13" s="2" t="s">
        <v>371</v>
      </c>
      <c r="B13" s="3" t="n">
        <f aca="false">COUNTIFS('All Products'!B:B,A13,'All Products'!D:D,"Product")</f>
        <v>77</v>
      </c>
      <c r="C13" s="3" t="n">
        <f aca="false">SUMIFS('All Products'!E:E,'All Products'!B:B,A13,'All Products'!D:D,"Product")</f>
        <v>170869</v>
      </c>
      <c r="D13" s="3" t="n">
        <f aca="false">SUMIFS('All Products'!F:F,'All Products'!B:B,A13,'All Products'!D:D,"Product")</f>
        <v>327117.6</v>
      </c>
      <c r="E13" s="3" t="n">
        <f aca="false">SUMIFS('All Products'!G:G,'All Products'!B:B,A13,'All Products'!D:D,"Product")</f>
        <v>11110.3</v>
      </c>
      <c r="F13" s="3" t="n">
        <f aca="false">SUMIFS('All Products'!H:H,'All Products'!B:B,A13,'All Products'!D:D,"Product")</f>
        <v>2512</v>
      </c>
      <c r="G13" s="3" t="n">
        <f aca="false">SUMIFS('All Products'!I:I,'All Products'!B:B,A13,'All Products'!D:D,"Product")</f>
        <v>49894.8</v>
      </c>
      <c r="H13" s="3" t="n">
        <f aca="false">SUMIFS('All Products'!J:J,'All Products'!B:B,A13,'All Products'!D:D,"Product")</f>
        <v>41740</v>
      </c>
      <c r="I13" s="3" t="n">
        <f aca="false">SUMIFS('All Products'!K:K,'All Products'!B:B,A13,'All Products'!D:D,"Product")</f>
        <v>38173.3</v>
      </c>
      <c r="J13" s="3" t="n">
        <f aca="false">SUMIFS('All Products'!L:L,'All Products'!B:B,A13,'All Products'!D:D,"Product")</f>
        <v>129808.1</v>
      </c>
    </row>
    <row r="14" customFormat="false" ht="15" hidden="false" customHeight="false" outlineLevel="0" collapsed="false">
      <c r="A14" s="2" t="s">
        <v>449</v>
      </c>
      <c r="B14" s="3" t="n">
        <f aca="false">COUNTIFS('All Products'!B:B,A14,'All Products'!D:D,"Product")</f>
        <v>7</v>
      </c>
      <c r="C14" s="3" t="n">
        <f aca="false">SUMIFS('All Products'!E:E,'All Products'!B:B,A14,'All Products'!D:D,"Product")</f>
        <v>1938</v>
      </c>
      <c r="D14" s="3" t="n">
        <f aca="false">SUMIFS('All Products'!F:F,'All Products'!B:B,A14,'All Products'!D:D,"Product")</f>
        <v>1729</v>
      </c>
      <c r="E14" s="3" t="n">
        <f aca="false">SUMIFS('All Products'!G:G,'All Products'!B:B,A14,'All Products'!D:D,"Product")</f>
        <v>156.2</v>
      </c>
      <c r="F14" s="3" t="n">
        <f aca="false">SUMIFS('All Products'!H:H,'All Products'!B:B,A14,'All Products'!D:D,"Product")</f>
        <v>0</v>
      </c>
      <c r="G14" s="3" t="n">
        <f aca="false">SUMIFS('All Products'!I:I,'All Products'!B:B,A14,'All Products'!D:D,"Product")</f>
        <v>674.9</v>
      </c>
      <c r="H14" s="3" t="n">
        <f aca="false">SUMIFS('All Products'!J:J,'All Products'!B:B,A14,'All Products'!D:D,"Product")</f>
        <v>555.6</v>
      </c>
      <c r="I14" s="3" t="n">
        <f aca="false">SUMIFS('All Products'!K:K,'All Products'!B:B,A14,'All Products'!D:D,"Product")</f>
        <v>544.4</v>
      </c>
      <c r="J14" s="3" t="n">
        <f aca="false">SUMIFS('All Products'!L:L,'All Products'!B:B,A14,'All Products'!D:D,"Product")</f>
        <v>1774.9</v>
      </c>
    </row>
    <row r="15" customFormat="false" ht="15" hidden="false" customHeight="false" outlineLevel="0" collapsed="false">
      <c r="A15" s="2" t="s">
        <v>457</v>
      </c>
      <c r="B15" s="3" t="n">
        <f aca="false">COUNTIFS('All Products'!B:B,A15,'All Products'!D:D,"Product")</f>
        <v>10</v>
      </c>
      <c r="C15" s="3" t="n">
        <f aca="false">SUMIFS('All Products'!E:E,'All Products'!B:B,A15,'All Products'!D:D,"Product")</f>
        <v>61672</v>
      </c>
      <c r="D15" s="3" t="n">
        <f aca="false">SUMIFS('All Products'!F:F,'All Products'!B:B,A15,'All Products'!D:D,"Product")</f>
        <v>60807.9</v>
      </c>
      <c r="E15" s="3" t="n">
        <f aca="false">SUMIFS('All Products'!G:G,'All Products'!B:B,A15,'All Products'!D:D,"Product")</f>
        <v>4418.6</v>
      </c>
      <c r="F15" s="3" t="n">
        <f aca="false">SUMIFS('All Products'!H:H,'All Products'!B:B,A15,'All Products'!D:D,"Product")</f>
        <v>0</v>
      </c>
      <c r="G15" s="3" t="n">
        <f aca="false">SUMIFS('All Products'!I:I,'All Products'!B:B,A15,'All Products'!D:D,"Product")</f>
        <v>19567.9</v>
      </c>
      <c r="H15" s="3" t="n">
        <f aca="false">SUMIFS('All Products'!J:J,'All Products'!B:B,A15,'All Products'!D:D,"Product")</f>
        <v>16680.1</v>
      </c>
      <c r="I15" s="3" t="n">
        <f aca="false">SUMIFS('All Products'!K:K,'All Products'!B:B,A15,'All Products'!D:D,"Product")</f>
        <v>15843.4</v>
      </c>
      <c r="J15" s="3" t="n">
        <f aca="false">SUMIFS('All Products'!L:L,'All Products'!B:B,A15,'All Products'!D:D,"Product")</f>
        <v>52091.4</v>
      </c>
    </row>
    <row r="16" customFormat="false" ht="15" hidden="false" customHeight="false" outlineLevel="0" collapsed="false">
      <c r="A16" s="2" t="s">
        <v>468</v>
      </c>
      <c r="B16" s="3" t="n">
        <f aca="false">COUNTIFS('All Products'!B:B,A16,'All Products'!D:D,"Product")</f>
        <v>6</v>
      </c>
      <c r="C16" s="3" t="n">
        <f aca="false">SUMIFS('All Products'!E:E,'All Products'!B:B,A16,'All Products'!D:D,"Product")</f>
        <v>4016</v>
      </c>
      <c r="D16" s="3" t="n">
        <f aca="false">SUMIFS('All Products'!F:F,'All Products'!B:B,A16,'All Products'!D:D,"Product")</f>
        <v>50840.5</v>
      </c>
      <c r="E16" s="3" t="n">
        <f aca="false">SUMIFS('All Products'!G:G,'All Products'!B:B,A16,'All Products'!D:D,"Product")</f>
        <v>1865.9</v>
      </c>
      <c r="F16" s="3" t="n">
        <f aca="false">SUMIFS('All Products'!H:H,'All Products'!B:B,A16,'All Products'!D:D,"Product")</f>
        <v>0</v>
      </c>
      <c r="G16" s="3" t="n">
        <f aca="false">SUMIFS('All Products'!I:I,'All Products'!B:B,A16,'All Products'!D:D,"Product")</f>
        <v>8240.9</v>
      </c>
      <c r="H16" s="3" t="n">
        <f aca="false">SUMIFS('All Products'!J:J,'All Products'!B:B,A16,'All Products'!D:D,"Product")</f>
        <v>7351.1</v>
      </c>
      <c r="I16" s="3" t="n">
        <f aca="false">SUMIFS('All Products'!K:K,'All Products'!B:B,A16,'All Products'!D:D,"Product")</f>
        <v>7243.8</v>
      </c>
      <c r="J16" s="3" t="n">
        <f aca="false">SUMIFS('All Products'!L:L,'All Products'!B:B,A16,'All Products'!D:D,"Product")</f>
        <v>22835.8</v>
      </c>
    </row>
    <row r="17" customFormat="false" ht="15" hidden="false" customHeight="false" outlineLevel="0" collapsed="false">
      <c r="A17" s="8" t="s">
        <v>475</v>
      </c>
      <c r="B17" s="3" t="n">
        <f aca="false">COUNTIFS('All Products'!B:B,A17,'All Products'!D:D,"Product")</f>
        <v>7</v>
      </c>
      <c r="C17" s="3" t="n">
        <f aca="false">SUMIFS('All Products'!E:E,'All Products'!B:B,A17,'All Products'!D:D,"Product")</f>
        <v>2731</v>
      </c>
      <c r="D17" s="3" t="n">
        <f aca="false">SUMIFS('All Products'!F:F,'All Products'!B:B,A17,'All Products'!D:D,"Product")</f>
        <v>2907.3</v>
      </c>
      <c r="E17" s="3" t="n">
        <f aca="false">SUMIFS('All Products'!G:G,'All Products'!B:B,A17,'All Products'!D:D,"Product")</f>
        <v>161.1</v>
      </c>
      <c r="F17" s="3" t="n">
        <f aca="false">SUMIFS('All Products'!H:H,'All Products'!B:B,A17,'All Products'!D:D,"Product")</f>
        <v>0</v>
      </c>
      <c r="G17" s="3" t="n">
        <f aca="false">SUMIFS('All Products'!I:I,'All Products'!B:B,A17,'All Products'!D:D,"Product")</f>
        <v>736.6</v>
      </c>
      <c r="H17" s="3" t="n">
        <f aca="false">SUMIFS('All Products'!J:J,'All Products'!B:B,A17,'All Products'!D:D,"Product")</f>
        <v>532.4</v>
      </c>
      <c r="I17" s="3" t="n">
        <f aca="false">SUMIFS('All Products'!K:K,'All Products'!B:B,A17,'All Products'!D:D,"Product")</f>
        <v>521.9</v>
      </c>
      <c r="J17" s="3" t="n">
        <f aca="false">SUMIFS('All Products'!L:L,'All Products'!B:B,A17,'All Products'!D:D,"Product")</f>
        <v>1790.9</v>
      </c>
    </row>
    <row r="18" customFormat="false" ht="15" hidden="false" customHeight="false" outlineLevel="0" collapsed="false">
      <c r="A18" s="2" t="s">
        <v>483</v>
      </c>
      <c r="B18" s="3" t="n">
        <f aca="false">COUNTIFS('All Products'!B:B,A18,'All Products'!D:D,"Product")</f>
        <v>81</v>
      </c>
      <c r="C18" s="3" t="n">
        <f aca="false">SUMIFS('All Products'!E:E,'All Products'!B:B,A18,'All Products'!D:D,"Product")</f>
        <v>6852</v>
      </c>
      <c r="D18" s="3" t="n">
        <f aca="false">SUMIFS('All Products'!F:F,'All Products'!B:B,A18,'All Products'!D:D,"Product")</f>
        <v>17297.1</v>
      </c>
      <c r="E18" s="3" t="n">
        <f aca="false">SUMIFS('All Products'!G:G,'All Products'!B:B,A18,'All Products'!D:D,"Product")</f>
        <v>1754.4</v>
      </c>
      <c r="F18" s="3" t="n">
        <f aca="false">SUMIFS('All Products'!H:H,'All Products'!B:B,A18,'All Products'!D:D,"Product")</f>
        <v>0</v>
      </c>
      <c r="G18" s="3" t="n">
        <f aca="false">SUMIFS('All Products'!I:I,'All Products'!B:B,A18,'All Products'!D:D,"Product")</f>
        <v>7599.8</v>
      </c>
      <c r="H18" s="3" t="n">
        <f aca="false">SUMIFS('All Products'!J:J,'All Products'!B:B,A18,'All Products'!D:D,"Product")</f>
        <v>5532.5</v>
      </c>
      <c r="I18" s="3" t="n">
        <f aca="false">SUMIFS('All Products'!K:K,'All Products'!B:B,A18,'All Products'!D:D,"Product")</f>
        <v>5271.8</v>
      </c>
      <c r="J18" s="3" t="n">
        <f aca="false">SUMIFS('All Products'!L:L,'All Products'!B:B,A18,'All Products'!D:D,"Product")</f>
        <v>18404.1</v>
      </c>
    </row>
    <row r="19" customFormat="false" ht="15" hidden="false" customHeight="false" outlineLevel="0" collapsed="false">
      <c r="A19" s="9" t="s">
        <v>571</v>
      </c>
      <c r="B19" s="10" t="n">
        <f aca="false">SUM(B2:B18)</f>
        <v>526</v>
      </c>
      <c r="C19" s="10" t="n">
        <f aca="false">SUM(C2:C18)</f>
        <v>791373</v>
      </c>
      <c r="D19" s="10" t="n">
        <f aca="false">SUM(D2:D18)</f>
        <v>1168112.9</v>
      </c>
      <c r="E19" s="10" t="n">
        <f aca="false">SUM(E2:E18)</f>
        <v>56813.4</v>
      </c>
      <c r="F19" s="10" t="n">
        <f aca="false">SUM(F2:F18)</f>
        <v>10475</v>
      </c>
      <c r="G19" s="10" t="n">
        <f aca="false">SUM(G2:G18)</f>
        <v>251741.8</v>
      </c>
      <c r="H19" s="10" t="n">
        <f aca="false">SUM(H2:H18)</f>
        <v>212479.3</v>
      </c>
      <c r="I19" s="10" t="n">
        <f aca="false">SUM(I2:I18)</f>
        <v>208659.6</v>
      </c>
      <c r="J19" s="10" t="n">
        <f aca="false">SUM(J2:J18)</f>
        <v>672880.7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1" t="s">
        <v>572</v>
      </c>
      <c r="B1" s="12"/>
    </row>
    <row r="2" customFormat="false" ht="15" hidden="false" customHeight="false" outlineLevel="0" collapsed="false">
      <c r="A2" s="13"/>
      <c r="B2" s="12"/>
    </row>
    <row r="3" customFormat="false" ht="15" hidden="false" customHeight="false" outlineLevel="0" collapsed="false">
      <c r="A3" s="13" t="s">
        <v>573</v>
      </c>
      <c r="B3" s="12" t="s">
        <v>574</v>
      </c>
    </row>
    <row r="4" customFormat="false" ht="15" hidden="false" customHeight="false" outlineLevel="0" collapsed="false">
      <c r="A4" s="13"/>
      <c r="B4" s="12"/>
    </row>
    <row r="5" customFormat="false" ht="15" hidden="false" customHeight="false" outlineLevel="0" collapsed="false">
      <c r="A5" s="11" t="s">
        <v>575</v>
      </c>
      <c r="B5" s="12"/>
    </row>
    <row r="6" customFormat="false" ht="29.85" hidden="false" customHeight="false" outlineLevel="0" collapsed="false">
      <c r="A6" s="13" t="s">
        <v>4</v>
      </c>
      <c r="B6" s="12" t="s">
        <v>576</v>
      </c>
    </row>
    <row r="7" customFormat="false" ht="26.85" hidden="false" customHeight="false" outlineLevel="0" collapsed="false">
      <c r="A7" s="13" t="s">
        <v>5</v>
      </c>
      <c r="B7" s="12" t="s">
        <v>577</v>
      </c>
    </row>
    <row r="8" customFormat="false" ht="26.85" hidden="false" customHeight="false" outlineLevel="0" collapsed="false">
      <c r="A8" s="13" t="s">
        <v>568</v>
      </c>
      <c r="B8" s="12" t="s">
        <v>578</v>
      </c>
    </row>
    <row r="9" customFormat="false" ht="26.85" hidden="false" customHeight="false" outlineLevel="0" collapsed="false">
      <c r="A9" s="13" t="s">
        <v>579</v>
      </c>
      <c r="B9" s="12" t="s">
        <v>580</v>
      </c>
    </row>
    <row r="10" customFormat="false" ht="26.85" hidden="false" customHeight="false" outlineLevel="0" collapsed="false">
      <c r="A10" s="13" t="s">
        <v>581</v>
      </c>
      <c r="B10" s="12" t="s">
        <v>582</v>
      </c>
    </row>
    <row r="11" customFormat="false" ht="15" hidden="false" customHeight="false" outlineLevel="0" collapsed="false">
      <c r="A11" s="13" t="s">
        <v>570</v>
      </c>
      <c r="B11" s="12" t="s">
        <v>583</v>
      </c>
    </row>
    <row r="12" customFormat="false" ht="15" hidden="false" customHeight="false" outlineLevel="0" collapsed="false">
      <c r="A12" s="13"/>
      <c r="B12" s="12"/>
    </row>
    <row r="13" customFormat="false" ht="15" hidden="false" customHeight="false" outlineLevel="0" collapsed="false">
      <c r="A13" s="11" t="s">
        <v>584</v>
      </c>
      <c r="B13" s="12"/>
    </row>
    <row r="14" customFormat="false" ht="15" hidden="false" customHeight="false" outlineLevel="0" collapsed="false">
      <c r="A14" s="13" t="s">
        <v>585</v>
      </c>
      <c r="B14" s="12" t="s">
        <v>586</v>
      </c>
    </row>
    <row r="15" customFormat="false" ht="26.85" hidden="false" customHeight="false" outlineLevel="0" collapsed="false">
      <c r="A15" s="13" t="s">
        <v>587</v>
      </c>
      <c r="B15" s="12" t="s">
        <v>588</v>
      </c>
    </row>
    <row r="16" customFormat="false" ht="26.85" hidden="false" customHeight="false" outlineLevel="0" collapsed="false">
      <c r="A16" s="13" t="s">
        <v>589</v>
      </c>
      <c r="B16" s="12" t="s">
        <v>590</v>
      </c>
    </row>
    <row r="17" customFormat="false" ht="15" hidden="false" customHeight="false" outlineLevel="0" collapsed="false">
      <c r="A17" s="13"/>
      <c r="B17" s="12"/>
    </row>
    <row r="18" customFormat="false" ht="15" hidden="false" customHeight="false" outlineLevel="0" collapsed="false">
      <c r="A18" s="11" t="s">
        <v>591</v>
      </c>
      <c r="B18" s="12"/>
    </row>
    <row r="19" customFormat="false" ht="23.85" hidden="false" customHeight="false" outlineLevel="0" collapsed="false">
      <c r="A19" s="13" t="s">
        <v>592</v>
      </c>
      <c r="B19" s="12" t="s">
        <v>593</v>
      </c>
    </row>
    <row r="20" customFormat="false" ht="15" hidden="false" customHeight="false" outlineLevel="0" collapsed="false">
      <c r="A20" s="13" t="s">
        <v>594</v>
      </c>
      <c r="B20" s="12" t="s">
        <v>595</v>
      </c>
    </row>
    <row r="21" customFormat="false" ht="15" hidden="false" customHeight="false" outlineLevel="0" collapsed="false">
      <c r="A21" s="13" t="s">
        <v>596</v>
      </c>
      <c r="B21" s="12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2026-07-07T08:30:02Z</dcterms:created>
  <dc:creator>openpyxl</dc:creator>
  <dc:description/>
  <dc:language>en-US</dc:language>
  <cp:lastModifiedBy/>
  <dcterms:modified xsi:type="dcterms:W3CDTF">2026-07-07T08:30:02Z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